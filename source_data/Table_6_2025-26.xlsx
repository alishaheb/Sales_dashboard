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 Id="rId4" Type="http://purl.oclc.org/ooxml/officeDocument/relationships/customProperties" Target="docProps/custom.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0920"/>
  <workbookPr dateCompatibility="0" defaultThemeVersion="202300"/>
  <mc:AlternateContent xmlns:mc="http://schemas.openxmlformats.org/markup-compatibility/2006">
    <mc:Choice Requires="x15">
      <x15ac:absPath xmlns:x15ac="http://schemas.microsoft.com/office/spreadsheetml/2010/11/ac" url="/Users/seyedalishahebrahimi/Downloads/"/>
    </mc:Choice>
  </mc:AlternateContent>
  <xr:revisionPtr revIDLastSave="0" documentId="8_{307A4921-03C4-034C-95EB-84B7A672529D}" xr6:coauthVersionLast="47" xr6:coauthVersionMax="47" xr10:uidLastSave="{00000000-0000-0000-0000-000000000000}"/>
  <bookViews>
    <workbookView xWindow="0" yWindow="660" windowWidth="29400" windowHeight="17300" activeTab="5" xr2:uid="{8CB595F6-B2D6-D04F-B09C-0A1C1CC6344C}"/>
  </bookViews>
  <sheets>
    <sheet name="Cover" sheetId="1" r:id="rId1"/>
    <sheet name="Contents" sheetId="2" r:id="rId2"/>
    <sheet name="Notes" sheetId="3" r:id="rId3"/>
    <sheet name="Table_6" sheetId="4" r:id="rId4"/>
    <sheet name="Table_6a_-_council_tax" sheetId="5" r:id="rId5"/>
    <sheet name="Table_6b-non_domestic_rates" sheetId="6" r:id="rId6"/>
    <sheet name="LA_List" sheetId="7" state="hidden" r:id="rId7"/>
  </sheets>
  <definedNames>
    <definedName name="_xlnm._FilterDatabase" localSheetId="6" hidden="1">LA_List!$A$1:$F$303</definedName>
    <definedName name="_QRC4" localSheetId="3">Table_6!#REF!</definedName>
    <definedName name="_QRC4">!#REF!</definedName>
    <definedName name="ccc" localSheetId="3">Table_6!$A$1:$Z$16</definedName>
    <definedName name="ccc">!#REF!</definedName>
    <definedName name="CONTACT" localSheetId="3">Table_6!#REF!</definedName>
    <definedName name="CONTACT">!#REF!</definedName>
    <definedName name="datar">!#REF!</definedName>
    <definedName name="LA_List" localSheetId="3">Table_6!#REF!</definedName>
    <definedName name="LA_List">!#REF!</definedName>
    <definedName name="LAlist">!#REF!</definedName>
    <definedName name="LAlist_1">!#REF!</definedName>
    <definedName name="lanames">!#REF!</definedName>
    <definedName name="lanames_1">!#REF!</definedName>
    <definedName name="_xlnm.Print_Area" localSheetId="3">Table_6!$A$1:$H$16</definedName>
    <definedName name="Range">!#REF!</definedName>
    <definedName name="Table">!#REF!</definedName>
  </definedNames>
  <calcPr calcId="191029"/>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purl.oclc.org/ooxml/spreadsheetml/main">
  <c r="H21" i="4" l="1"/>
  <c r="E21" i="4"/>
  <c r="H20" i="4"/>
  <c r="E20" i="4"/>
  <c r="H19" i="4"/>
  <c r="E19" i="4"/>
  <c r="H16" i="4"/>
  <c r="E16" i="4"/>
  <c r="H15" i="4"/>
  <c r="E15" i="4"/>
  <c r="H14" i="4"/>
  <c r="E14" i="4"/>
  <c r="A9" i="4"/>
  <c r="F20" i="4" s="1"/>
  <c r="C16" i="4" l="1"/>
  <c r="F19" i="4"/>
  <c r="F21" i="4"/>
  <c r="C15" i="4"/>
  <c r="C21" i="4"/>
  <c r="A11" i="4"/>
  <c r="F16" i="4"/>
  <c r="C14" i="4"/>
  <c r="C20" i="4"/>
  <c r="F15" i="4"/>
  <c r="C19" i="4"/>
  <c r="F14" i="4"/>
  <c r="D19" i="4" l="1"/>
  <c r="G15" i="4"/>
  <c r="D14" i="4"/>
  <c r="G16" i="4"/>
  <c r="D21" i="4"/>
  <c r="D15" i="4"/>
  <c r="G19" i="4"/>
  <c r="G21" i="4"/>
  <c r="D20" i="4"/>
  <c r="D16" i="4"/>
  <c r="G14" i="4"/>
  <c r="G20" i="4"/>
</calcChain>
</file>

<file path=xl/sharedStrings.xml><?xml version="1.0" encoding="utf-8"?>
<sst xmlns="http://purl.oclc.org/ooxml/spreadsheetml/main" count="4990" uniqueCount="1099">
  <si>
    <t>Collection amounts and rates of council tax and non-domestic rates: Local Authority level data for 2024-25 and 2025-26</t>
  </si>
  <si>
    <t>Published by the Ministry of Housing, Communities &amp; Local Government (MHCLG) on 24 June 2026 and revised on 31 July 2026</t>
  </si>
  <si>
    <t>Purpose</t>
  </si>
  <si>
    <r>
      <t xml:space="preserve">These tables provide local authority level data on the collection amounts and rates of council tax and non-domestic rates (also known as business rates) for 2024-25 and 2025-26. This includes all billing authorities in England. Data from this workbook have been used to compile the statistics release </t>
    </r>
    <r>
      <rPr>
        <b/>
        <sz val="12"/>
        <color rgb="FF000000"/>
        <rFont val="Arial"/>
        <family val="2"/>
      </rPr>
      <t>Collection rates and receipts of council tax and non-domestic rates in England, 2025-26</t>
    </r>
    <r>
      <rPr>
        <sz val="12"/>
        <color rgb="FF000000"/>
        <rFont val="Arial"/>
        <family val="2"/>
      </rPr>
      <t xml:space="preserve"> which was originally published on 24 June 2026. This is available on the Department’s website at:</t>
    </r>
  </si>
  <si>
    <t>https://www.gov.uk/government/collections/council-tax-statistics#collection-rates-for-council-tax-and-non-domestic-rates</t>
  </si>
  <si>
    <t>Uses of the data</t>
  </si>
  <si>
    <t>The data are used to provide the MHCLG Secretary of State and Ministers, HM Treasury and the Office for National Statistics (ONS) with the most up to date information available on the amount of council tax collected by local authorities. The data are important sources for various evidence based policy and financial decisions and answering numerous parliamentary questions. In addition it is used by local authorities and their associations, other government departments, members of the business community and the general public.</t>
  </si>
  <si>
    <t>Data collection</t>
  </si>
  <si>
    <t>The information in this release is based on data returned to the Ministry of Housing, Communities &amp; Local Government (MHCLG) by all 296 billing authorities in England on the Quarterly Rates Collection (QRC) forms. The data are as reported by local authorities and have been subjected to rigorous validation processes.</t>
  </si>
  <si>
    <t>Data quality</t>
  </si>
  <si>
    <t>These figures are as reported by the local authorities. Validations have been applied as part of the collection, and the data has undergone quality assurance checks on receipt.</t>
  </si>
  <si>
    <t>Revisions</t>
  </si>
  <si>
    <r>
      <t xml:space="preserve">Local authorities are invited to resubmit data where errors in previous returns have occurred. Where data have been revised these have been flagged in the </t>
    </r>
    <r>
      <rPr>
        <b/>
        <sz val="12"/>
        <color rgb="FF000000"/>
        <rFont val="Arial"/>
        <family val="2"/>
      </rPr>
      <t xml:space="preserve">notes </t>
    </r>
    <r>
      <rPr>
        <sz val="12"/>
        <color rgb="FF000000"/>
        <rFont val="Arial"/>
        <family val="2"/>
      </rPr>
      <t>column.</t>
    </r>
  </si>
  <si>
    <t>Date of publication</t>
  </si>
  <si>
    <t>This workbook was published on 24 June 2026, and revised on 31 July 2026 to include data from Kensington &amp; Chelsea. The next update containing 2026-27 data will be published in June 2027.</t>
  </si>
  <si>
    <t>Workbook Properties</t>
  </si>
  <si>
    <t>This workbook has one worksheet ('Table 6') that displays data from selections for an individual authority selected in the drop-down box. There are then two worksheets that format this data in an accessible way and contains data for all billing authorities in England, the England total and class (type of authority) totals. 'Table 6a' contains the council tax related data and 'Table 6b' contains the non-domestic rates related data. 
Notes and definitions used in the tables can be found in the 'Notes' worksheet.</t>
  </si>
  <si>
    <t>Accessibility Statement</t>
  </si>
  <si>
    <t>We have been implementing GSS accessibility guidance for our statistics in spreadsheets within the Local Taxation data collection team at MHCLG. While we are aware that the 'Table 6' worksheet is not accessible for machine readers, it is provided to aid the understanding of the data collected. The worksheets 'Table 6a' and 'Table 6b' containing the underlying data have been set up to follow accessibility good practice guidance. We are seeking feedback on the progress we have made and if you would like to provide any thoughts please contact the e-mail below.</t>
  </si>
  <si>
    <t>Contact</t>
  </si>
  <si>
    <t>Responsible Statistician: Jo Coleman</t>
  </si>
  <si>
    <t>Contact details: qrc.statistics@communities.gov.uk</t>
  </si>
  <si>
    <t>Contents</t>
  </si>
  <si>
    <t xml:space="preserve">This worksheet contains 1 table. </t>
  </si>
  <si>
    <t>Worksheet name</t>
  </si>
  <si>
    <t>Worksheet title</t>
  </si>
  <si>
    <t>Notes</t>
  </si>
  <si>
    <t>Notes found throughout the workbook</t>
  </si>
  <si>
    <t>Table 6</t>
  </si>
  <si>
    <t>Table 6: Council tax and non-domestic rates - collection amounts and rates, England, 2024-25 and 2025-26</t>
  </si>
  <si>
    <t>Table 6a</t>
  </si>
  <si>
    <t>Table 6a: Council tax - collection amounts and rates, England, 2024-25 and 2025-26</t>
  </si>
  <si>
    <t>Table 6b</t>
  </si>
  <si>
    <t>Table 6b: Non-domestic rates - collection amounts and rates, England, 2024-25 and 2025-26</t>
  </si>
  <si>
    <t>This worksheet contains 2 tables that refer to notes throughout each worksheet and definitions for terminology found throughout the workbook. Each table is presented horizontally and separated by a blank column.</t>
  </si>
  <si>
    <t>Note</t>
  </si>
  <si>
    <t>Explanation</t>
  </si>
  <si>
    <t>Term</t>
  </si>
  <si>
    <t>Definition</t>
  </si>
  <si>
    <t>[r]</t>
  </si>
  <si>
    <t>Figures for 2025-26 have been revised to include data for Kensington &amp; Chelsea, who were unable to submit data in time for the original June publication.</t>
  </si>
  <si>
    <t>Financial year</t>
  </si>
  <si>
    <t>The financial year starts in April and ends in March</t>
  </si>
  <si>
    <t>[note a]</t>
  </si>
  <si>
    <t>Also known as the Net Collectable Debit.</t>
  </si>
  <si>
    <t>Eng</t>
  </si>
  <si>
    <t>England</t>
  </si>
  <si>
    <t>[x]</t>
  </si>
  <si>
    <t>This indicates that data is not available or has been suppressed. Refer to the notes column in each worksheet for further information.</t>
  </si>
  <si>
    <t>NW</t>
  </si>
  <si>
    <t>North West England</t>
  </si>
  <si>
    <t>NE</t>
  </si>
  <si>
    <t>North East England</t>
  </si>
  <si>
    <t>EM</t>
  </si>
  <si>
    <t>East Midlands</t>
  </si>
  <si>
    <t>E</t>
  </si>
  <si>
    <t>East of England</t>
  </si>
  <si>
    <t>SW</t>
  </si>
  <si>
    <t>South West England</t>
  </si>
  <si>
    <t>SE</t>
  </si>
  <si>
    <t>South East England</t>
  </si>
  <si>
    <t>YH</t>
  </si>
  <si>
    <t>Yorkshire and the Humber</t>
  </si>
  <si>
    <t>WM</t>
  </si>
  <si>
    <t>West Midlands</t>
  </si>
  <si>
    <t>L</t>
  </si>
  <si>
    <t>London</t>
  </si>
  <si>
    <t>LB</t>
  </si>
  <si>
    <t>London Borough</t>
  </si>
  <si>
    <t>ILB</t>
  </si>
  <si>
    <t>Inner London Borough</t>
  </si>
  <si>
    <t>OLB</t>
  </si>
  <si>
    <t>Outer London Borough</t>
  </si>
  <si>
    <t>MD</t>
  </si>
  <si>
    <t>Metropolitan District</t>
  </si>
  <si>
    <t>UA</t>
  </si>
  <si>
    <t>Unitary Authority</t>
  </si>
  <si>
    <t>SD</t>
  </si>
  <si>
    <t>Shire District</t>
  </si>
  <si>
    <t>Table 6: Council tax and non-domestic rates - collection amounts and rates, England, 2024-25 and 2025-26 [r]</t>
  </si>
  <si>
    <t>This worksheet contains 2 tables. Table 1 shows the collection rates for council tax and non-domestic rates in 2024-25. Table 2 shows the collection rates in 2025-26. 
Both tables show the figures for the authority selected from the drop down option in cell A7, the relevant class for that authority and for England.  Some cells refer to notes which can be found in notes worksheet.</t>
  </si>
  <si>
    <t>All data is rounded to the nearest thousand pounds (£000s), with the exception being the collection rate (Line 5) which is a percentage (%)</t>
  </si>
  <si>
    <t>Source: Ministry of Housing, Communities &amp; Local Government, Collection rates for Council Tax and non domestic rates - QRC4 data</t>
  </si>
  <si>
    <t>Last Updated: 31 July 2026</t>
  </si>
  <si>
    <t>Select a local authority by navigating the drop-down list below in cell A7. For accessibility, use ALT and arrows and select ENTER on the authority you wish to view.</t>
  </si>
  <si>
    <t>Adur</t>
  </si>
  <si>
    <t>ONS Code</t>
  </si>
  <si>
    <t>E07000223</t>
  </si>
  <si>
    <t>Class</t>
  </si>
  <si>
    <t>Shire Districts</t>
  </si>
  <si>
    <t>Table 1 - Total receipts in the period 1 April 2024 to 31 March 2025</t>
  </si>
  <si>
    <t>Category Line</t>
  </si>
  <si>
    <t>Category Description</t>
  </si>
  <si>
    <t>Council Tax: Authority
£ thousand</t>
  </si>
  <si>
    <t>Council Tax: Class
£ thousand</t>
  </si>
  <si>
    <t>Council Tax: England
£ thousand</t>
  </si>
  <si>
    <t>National Non Domestic Rates: Authority
£ thousand</t>
  </si>
  <si>
    <t>National Non Domestic Rates: Class
£ thousand</t>
  </si>
  <si>
    <t>National Non Domestic Rates: England
£ thousand</t>
  </si>
  <si>
    <t>Estimated net collectable debit in respect of 2024-25 [note a]</t>
  </si>
  <si>
    <t>Total 2024-25 receipts, net of refunds granted in respect of 2024-25 only 
= (Line 2 + Line 3)</t>
  </si>
  <si>
    <t>In-year collection rate for 2024-25 (%)
= (Line 4/Line 1 x 100, to 2 decimal places)</t>
  </si>
  <si>
    <t>Table 2 - Total receipts in the period 1 April 2025 to 31 March 2026</t>
  </si>
  <si>
    <t>National Non Domestic Rates: Authority 
£ thousand</t>
  </si>
  <si>
    <t>Estimated net collectable debit in respect of 2025-26 [note a]</t>
  </si>
  <si>
    <t>Total 2025-26 receipts, net of refunds granted in respect of 2025-26 only 
= (Line 2 + Line 3)</t>
  </si>
  <si>
    <t>In-year collection rate for 2025-26 (%)
= (Line 4/Line 1 x 100, to 2 decimal places)</t>
  </si>
  <si>
    <t>This worksheet contains one table. A blank cell in the Notes column represents that there are no notes associated with the data in that row.</t>
  </si>
  <si>
    <t>Authority</t>
  </si>
  <si>
    <t>E-Code</t>
  </si>
  <si>
    <t>Region</t>
  </si>
  <si>
    <t>Estimate of amount of council tax collectable in the year
2024-25
(£ thousand)</t>
  </si>
  <si>
    <t>Amount of council tax collected by 31 March 2025 relating to
2024-25
(£ thousand)</t>
  </si>
  <si>
    <t>Amount council tax collected by 31 March 2025 as a percentage of amount collectable
2024-25
(%)</t>
  </si>
  <si>
    <t>Estimate of amount of council tax collectable in the year
2025-26
(£ thousand)</t>
  </si>
  <si>
    <t>Amount council tax collected by 31 March 2026 relating to 
2025-26
(£ thousand)</t>
  </si>
  <si>
    <t>Amount of council tax collected by 31 March 2026 as a percentage of amount collectable
2025-26
(%)</t>
  </si>
  <si>
    <t>E-ENG</t>
  </si>
  <si>
    <t>[z]</t>
  </si>
  <si>
    <t>London Boroughs</t>
  </si>
  <si>
    <t>E-LB</t>
  </si>
  <si>
    <t>of which: Inner London Boroughs</t>
  </si>
  <si>
    <t>E-ILB</t>
  </si>
  <si>
    <t>of which: Outer London Boroughs</t>
  </si>
  <si>
    <t>E-OLB</t>
  </si>
  <si>
    <t>Metropolitan Districts</t>
  </si>
  <si>
    <t>E-MD</t>
  </si>
  <si>
    <t>Unitary Authorities</t>
  </si>
  <si>
    <t>E-UA</t>
  </si>
  <si>
    <t>E-SD</t>
  </si>
  <si>
    <t>E3831</t>
  </si>
  <si>
    <t>Amber Valley</t>
  </si>
  <si>
    <t>E1031</t>
  </si>
  <si>
    <t>E07000032</t>
  </si>
  <si>
    <t>Arun</t>
  </si>
  <si>
    <t>E3832</t>
  </si>
  <si>
    <t>E07000224</t>
  </si>
  <si>
    <t>Ashfield</t>
  </si>
  <si>
    <t>E3031</t>
  </si>
  <si>
    <t>E07000170</t>
  </si>
  <si>
    <t>Ashford</t>
  </si>
  <si>
    <t>E2231</t>
  </si>
  <si>
    <t>E07000105</t>
  </si>
  <si>
    <t>Babergh</t>
  </si>
  <si>
    <t>E3531</t>
  </si>
  <si>
    <t>E07000200</t>
  </si>
  <si>
    <t>Barking &amp; Dagenham</t>
  </si>
  <si>
    <t>E5030</t>
  </si>
  <si>
    <t>E09000002</t>
  </si>
  <si>
    <t>Barnet</t>
  </si>
  <si>
    <t>E5031</t>
  </si>
  <si>
    <t>E09000003</t>
  </si>
  <si>
    <t>Barnsley</t>
  </si>
  <si>
    <t>E4401</t>
  </si>
  <si>
    <t>E08000016</t>
  </si>
  <si>
    <t>Basildon</t>
  </si>
  <si>
    <t>E1531</t>
  </si>
  <si>
    <t>E07000066</t>
  </si>
  <si>
    <t>Basingstoke &amp; Deane</t>
  </si>
  <si>
    <t>E1731</t>
  </si>
  <si>
    <t>E07000084</t>
  </si>
  <si>
    <t>Bassetlaw</t>
  </si>
  <si>
    <t>E3032</t>
  </si>
  <si>
    <t>E07000171</t>
  </si>
  <si>
    <t>Bath &amp; North East Somerset</t>
  </si>
  <si>
    <t>E0101</t>
  </si>
  <si>
    <t>E06000022</t>
  </si>
  <si>
    <t xml:space="preserve">Bedford </t>
  </si>
  <si>
    <t>E0202</t>
  </si>
  <si>
    <t>E06000055</t>
  </si>
  <si>
    <t>Bexley</t>
  </si>
  <si>
    <t>E5032</t>
  </si>
  <si>
    <t>E09000004</t>
  </si>
  <si>
    <t>Birmingham</t>
  </si>
  <si>
    <t>E4601</t>
  </si>
  <si>
    <t>E08000025</t>
  </si>
  <si>
    <t>Blaby</t>
  </si>
  <si>
    <t>E2431</t>
  </si>
  <si>
    <t>E07000129</t>
  </si>
  <si>
    <t xml:space="preserve">Blackburn with Darwen </t>
  </si>
  <si>
    <t>E2301</t>
  </si>
  <si>
    <t>E06000008</t>
  </si>
  <si>
    <t xml:space="preserve">Blackpool </t>
  </si>
  <si>
    <t>E2302</t>
  </si>
  <si>
    <t>E06000009</t>
  </si>
  <si>
    <t>Bolsover</t>
  </si>
  <si>
    <t>E1032</t>
  </si>
  <si>
    <t>E07000033</t>
  </si>
  <si>
    <t>Bolton</t>
  </si>
  <si>
    <t>E4201</t>
  </si>
  <si>
    <t>E08000001</t>
  </si>
  <si>
    <t>Boston</t>
  </si>
  <si>
    <t>E2531</t>
  </si>
  <si>
    <t>E07000136</t>
  </si>
  <si>
    <t>Bournemouth, Christchurch &amp; Poole</t>
  </si>
  <si>
    <t>E1204</t>
  </si>
  <si>
    <t>E06000058</t>
  </si>
  <si>
    <t xml:space="preserve">Bracknell Forest </t>
  </si>
  <si>
    <t>E0301</t>
  </si>
  <si>
    <t>E06000036</t>
  </si>
  <si>
    <t>Bradford</t>
  </si>
  <si>
    <t>E4701</t>
  </si>
  <si>
    <t>E08000032</t>
  </si>
  <si>
    <t xml:space="preserve">Braintree </t>
  </si>
  <si>
    <t>E1532</t>
  </si>
  <si>
    <t>E07000067</t>
  </si>
  <si>
    <t>Breckland</t>
  </si>
  <si>
    <t>E2631</t>
  </si>
  <si>
    <t>E07000143</t>
  </si>
  <si>
    <t>Brent</t>
  </si>
  <si>
    <t>E5033</t>
  </si>
  <si>
    <t>E09000005</t>
  </si>
  <si>
    <t>Brentwood</t>
  </si>
  <si>
    <t>E1533</t>
  </si>
  <si>
    <t>E07000068</t>
  </si>
  <si>
    <t>Brighton and Hove</t>
  </si>
  <si>
    <t>E1401</t>
  </si>
  <si>
    <t>E06000043</t>
  </si>
  <si>
    <t>Bristol</t>
  </si>
  <si>
    <t>E0102</t>
  </si>
  <si>
    <t>E06000023</t>
  </si>
  <si>
    <t>Broadland</t>
  </si>
  <si>
    <t>E2632</t>
  </si>
  <si>
    <t>E07000144</t>
  </si>
  <si>
    <t>Bromley</t>
  </si>
  <si>
    <t>E5034</t>
  </si>
  <si>
    <t>E09000006</t>
  </si>
  <si>
    <t>Bromsgrove</t>
  </si>
  <si>
    <t>E1831</t>
  </si>
  <si>
    <t>E07000234</t>
  </si>
  <si>
    <t>Broxbourne</t>
  </si>
  <si>
    <t>E1931</t>
  </si>
  <si>
    <t>E07000095</t>
  </si>
  <si>
    <t>Broxtowe</t>
  </si>
  <si>
    <t>E3033</t>
  </si>
  <si>
    <t>E07000172</t>
  </si>
  <si>
    <t>Buckinghamshire UA</t>
  </si>
  <si>
    <t>E0402</t>
  </si>
  <si>
    <t>E06000060</t>
  </si>
  <si>
    <t>Burnley</t>
  </si>
  <si>
    <t>E2333</t>
  </si>
  <si>
    <t>E07000117</t>
  </si>
  <si>
    <t>Bury</t>
  </si>
  <si>
    <t>E4202</t>
  </si>
  <si>
    <t>E08000002</t>
  </si>
  <si>
    <t>Calderdale</t>
  </si>
  <si>
    <t>E4702</t>
  </si>
  <si>
    <t>E08000033</t>
  </si>
  <si>
    <t>Cambridge</t>
  </si>
  <si>
    <t>E0531</t>
  </si>
  <si>
    <t>E07000008</t>
  </si>
  <si>
    <t>Camden</t>
  </si>
  <si>
    <t>E5011</t>
  </si>
  <si>
    <t>E09000007</t>
  </si>
  <si>
    <t>Cannock Chase</t>
  </si>
  <si>
    <t>E3431</t>
  </si>
  <si>
    <t>E07000192</t>
  </si>
  <si>
    <t>Canterbury</t>
  </si>
  <si>
    <t>E2232</t>
  </si>
  <si>
    <t>E07000106</t>
  </si>
  <si>
    <t>Castle Point</t>
  </si>
  <si>
    <t>E1534</t>
  </si>
  <si>
    <t>E07000069</t>
  </si>
  <si>
    <t xml:space="preserve">Central Bedfordshire </t>
  </si>
  <si>
    <t>E0203</t>
  </si>
  <si>
    <t>E06000056</t>
  </si>
  <si>
    <t>Charnwood</t>
  </si>
  <si>
    <t>E2432</t>
  </si>
  <si>
    <t>E07000130</t>
  </si>
  <si>
    <t>Chelmsford</t>
  </si>
  <si>
    <t>E1535</t>
  </si>
  <si>
    <t>E07000070</t>
  </si>
  <si>
    <t>Cheltenham</t>
  </si>
  <si>
    <t>E1631</t>
  </si>
  <si>
    <t>E07000078</t>
  </si>
  <si>
    <t>Cherwell</t>
  </si>
  <si>
    <t>E3131</t>
  </si>
  <si>
    <t>E07000177</t>
  </si>
  <si>
    <t xml:space="preserve">Cheshire East </t>
  </si>
  <si>
    <t>E0603</t>
  </si>
  <si>
    <t>E06000049</t>
  </si>
  <si>
    <t xml:space="preserve">Cheshire West and Chester </t>
  </si>
  <si>
    <t>E0604</t>
  </si>
  <si>
    <t>E06000050</t>
  </si>
  <si>
    <t>Chesterfield</t>
  </si>
  <si>
    <t>E1033</t>
  </si>
  <si>
    <t>E07000034</t>
  </si>
  <si>
    <t>Chichester</t>
  </si>
  <si>
    <t>E3833</t>
  </si>
  <si>
    <t>E07000225</t>
  </si>
  <si>
    <t>Chorley</t>
  </si>
  <si>
    <t>E2334</t>
  </si>
  <si>
    <t>E07000118</t>
  </si>
  <si>
    <t>City of London</t>
  </si>
  <si>
    <t>E5010</t>
  </si>
  <si>
    <t>E09000001</t>
  </si>
  <si>
    <t>Colchester</t>
  </si>
  <si>
    <t>E1536</t>
  </si>
  <si>
    <t>E07000071</t>
  </si>
  <si>
    <t xml:space="preserve">Cornwall </t>
  </si>
  <si>
    <t>E0801</t>
  </si>
  <si>
    <t>E06000052</t>
  </si>
  <si>
    <t>Cotswold</t>
  </si>
  <si>
    <t>E1632</t>
  </si>
  <si>
    <t>E07000079</t>
  </si>
  <si>
    <t>Coventry</t>
  </si>
  <si>
    <t>E4602</t>
  </si>
  <si>
    <t>E08000026</t>
  </si>
  <si>
    <t>Crawley</t>
  </si>
  <si>
    <t>E3834</t>
  </si>
  <si>
    <t>E07000226</t>
  </si>
  <si>
    <t>Croydon</t>
  </si>
  <si>
    <t>E5035</t>
  </si>
  <si>
    <t>E09000008</t>
  </si>
  <si>
    <t>Cumberland</t>
  </si>
  <si>
    <t>E0901</t>
  </si>
  <si>
    <t>E06000063</t>
  </si>
  <si>
    <t>Dacorum</t>
  </si>
  <si>
    <t>E1932</t>
  </si>
  <si>
    <t>E07000096</t>
  </si>
  <si>
    <t xml:space="preserve">Darlington </t>
  </si>
  <si>
    <t>E1301</t>
  </si>
  <si>
    <t>E06000005</t>
  </si>
  <si>
    <t>Dartford</t>
  </si>
  <si>
    <t>E2233</t>
  </si>
  <si>
    <t>E07000107</t>
  </si>
  <si>
    <t xml:space="preserve">Derby </t>
  </si>
  <si>
    <t>E1001</t>
  </si>
  <si>
    <t>E06000015</t>
  </si>
  <si>
    <t>Derbyshire Dales</t>
  </si>
  <si>
    <t>E1035</t>
  </si>
  <si>
    <t>E07000035</t>
  </si>
  <si>
    <t>Doncaster</t>
  </si>
  <si>
    <t>E4402</t>
  </si>
  <si>
    <t>E08000017</t>
  </si>
  <si>
    <t>Dorset</t>
  </si>
  <si>
    <t>E1203</t>
  </si>
  <si>
    <t>E06000059</t>
  </si>
  <si>
    <t>Dover</t>
  </si>
  <si>
    <t>E2234</t>
  </si>
  <si>
    <t>E07000108</t>
  </si>
  <si>
    <t>Dudley</t>
  </si>
  <si>
    <t>E4603</t>
  </si>
  <si>
    <t>E08000027</t>
  </si>
  <si>
    <t xml:space="preserve">Durham </t>
  </si>
  <si>
    <t>E1302</t>
  </si>
  <si>
    <t>E06000047</t>
  </si>
  <si>
    <t>Ealing</t>
  </si>
  <si>
    <t>E5036</t>
  </si>
  <si>
    <t>E09000009</t>
  </si>
  <si>
    <t>East Cambridgeshire</t>
  </si>
  <si>
    <t>E0532</t>
  </si>
  <si>
    <t>E07000009</t>
  </si>
  <si>
    <t>East Devon</t>
  </si>
  <si>
    <t>E1131</t>
  </si>
  <si>
    <t>E07000040</t>
  </si>
  <si>
    <t>East Hampshire</t>
  </si>
  <si>
    <t>E1732</t>
  </si>
  <si>
    <t>E07000085</t>
  </si>
  <si>
    <t>East Hertfordshire</t>
  </si>
  <si>
    <t>E1933</t>
  </si>
  <si>
    <t>E07000242</t>
  </si>
  <si>
    <t>East Lindsey</t>
  </si>
  <si>
    <t>E2532</t>
  </si>
  <si>
    <t>E07000137</t>
  </si>
  <si>
    <t xml:space="preserve">East Riding of Yorkshire </t>
  </si>
  <si>
    <t>E2001</t>
  </si>
  <si>
    <t>E06000011</t>
  </si>
  <si>
    <t>East Staffordshire</t>
  </si>
  <si>
    <t>E3432</t>
  </si>
  <si>
    <t>E07000193</t>
  </si>
  <si>
    <t>East Suffolk</t>
  </si>
  <si>
    <t>E3538</t>
  </si>
  <si>
    <t>E07000244</t>
  </si>
  <si>
    <t>Eastbourne</t>
  </si>
  <si>
    <t>E1432</t>
  </si>
  <si>
    <t>E07000061</t>
  </si>
  <si>
    <t>Eastleigh</t>
  </si>
  <si>
    <t>E1733</t>
  </si>
  <si>
    <t>E07000086</t>
  </si>
  <si>
    <t>Elmbridge</t>
  </si>
  <si>
    <t>E3631</t>
  </si>
  <si>
    <t>E07000207</t>
  </si>
  <si>
    <t>Enfield</t>
  </si>
  <si>
    <t>E5037</t>
  </si>
  <si>
    <t>E09000010</t>
  </si>
  <si>
    <t>Epping Forest</t>
  </si>
  <si>
    <t>E1537</t>
  </si>
  <si>
    <t>E07000072</t>
  </si>
  <si>
    <t>Epsom and Ewell</t>
  </si>
  <si>
    <t>E3632</t>
  </si>
  <si>
    <t>E07000208</t>
  </si>
  <si>
    <t>Erewash</t>
  </si>
  <si>
    <t>E1036</t>
  </si>
  <si>
    <t>E07000036</t>
  </si>
  <si>
    <t>Exeter</t>
  </si>
  <si>
    <t>E1132</t>
  </si>
  <si>
    <t>E07000041</t>
  </si>
  <si>
    <t>Fareham</t>
  </si>
  <si>
    <t>E1734</t>
  </si>
  <si>
    <t>E07000087</t>
  </si>
  <si>
    <t>Fenland</t>
  </si>
  <si>
    <t>E0533</t>
  </si>
  <si>
    <t>E07000010</t>
  </si>
  <si>
    <t>Folkestone &amp; Hythe</t>
  </si>
  <si>
    <t>E2240</t>
  </si>
  <si>
    <t>E07000112</t>
  </si>
  <si>
    <t>Forest of Dean</t>
  </si>
  <si>
    <t>E1633</t>
  </si>
  <si>
    <t>E07000080</t>
  </si>
  <si>
    <t>Fylde</t>
  </si>
  <si>
    <t>E2335</t>
  </si>
  <si>
    <t>E07000119</t>
  </si>
  <si>
    <t>Gateshead</t>
  </si>
  <si>
    <t>E4501</t>
  </si>
  <si>
    <t>E08000037</t>
  </si>
  <si>
    <t>Gedling</t>
  </si>
  <si>
    <t>E3034</t>
  </si>
  <si>
    <t>E07000173</t>
  </si>
  <si>
    <t>Gloucester</t>
  </si>
  <si>
    <t>E1634</t>
  </si>
  <si>
    <t>E07000081</t>
  </si>
  <si>
    <t>Gosport</t>
  </si>
  <si>
    <t>E1735</t>
  </si>
  <si>
    <t>E07000088</t>
  </si>
  <si>
    <t>Gravesham</t>
  </si>
  <si>
    <t>E2236</t>
  </si>
  <si>
    <t>E07000109</t>
  </si>
  <si>
    <t>Great Yarmouth</t>
  </si>
  <si>
    <t>E2633</t>
  </si>
  <si>
    <t>E07000145</t>
  </si>
  <si>
    <t>Greenwich</t>
  </si>
  <si>
    <t>E5012</t>
  </si>
  <si>
    <t>E09000011</t>
  </si>
  <si>
    <t>Guildford</t>
  </si>
  <si>
    <t>E3633</t>
  </si>
  <si>
    <t>E07000209</t>
  </si>
  <si>
    <t>Hackney</t>
  </si>
  <si>
    <t>E5013</t>
  </si>
  <si>
    <t>E09000012</t>
  </si>
  <si>
    <t>Halton</t>
  </si>
  <si>
    <t>E0601</t>
  </si>
  <si>
    <t>E06000006</t>
  </si>
  <si>
    <t>Hammersmith &amp; Fulham</t>
  </si>
  <si>
    <t>E5014</t>
  </si>
  <si>
    <t>E09000013</t>
  </si>
  <si>
    <t>Harborough</t>
  </si>
  <si>
    <t>E2433</t>
  </si>
  <si>
    <t>E07000131</t>
  </si>
  <si>
    <t>Haringey</t>
  </si>
  <si>
    <t>E5038</t>
  </si>
  <si>
    <t>E09000014</t>
  </si>
  <si>
    <t>Harlow</t>
  </si>
  <si>
    <t>E1538</t>
  </si>
  <si>
    <t>E07000073</t>
  </si>
  <si>
    <t>Harrow</t>
  </si>
  <si>
    <t>E5039</t>
  </si>
  <si>
    <t>E09000015</t>
  </si>
  <si>
    <t>Hart</t>
  </si>
  <si>
    <t>E1736</t>
  </si>
  <si>
    <t>E07000089</t>
  </si>
  <si>
    <t xml:space="preserve">Hartlepool </t>
  </si>
  <si>
    <t>E0701</t>
  </si>
  <si>
    <t>E06000001</t>
  </si>
  <si>
    <t>Hastings</t>
  </si>
  <si>
    <t>E1433</t>
  </si>
  <si>
    <t>E07000062</t>
  </si>
  <si>
    <t>Havant</t>
  </si>
  <si>
    <t>E1737</t>
  </si>
  <si>
    <t>E07000090</t>
  </si>
  <si>
    <t>Havering</t>
  </si>
  <si>
    <t>E5040</t>
  </si>
  <si>
    <t>E09000016</t>
  </si>
  <si>
    <t xml:space="preserve">Herefordshire </t>
  </si>
  <si>
    <t>E1801</t>
  </si>
  <si>
    <t>E06000019</t>
  </si>
  <si>
    <t>Hertsmere</t>
  </si>
  <si>
    <t>E1934</t>
  </si>
  <si>
    <t>E07000098</t>
  </si>
  <si>
    <t>High Peak</t>
  </si>
  <si>
    <t>E1037</t>
  </si>
  <si>
    <t>E07000037</t>
  </si>
  <si>
    <t>Hillingdon</t>
  </si>
  <si>
    <t>E5041</t>
  </si>
  <si>
    <t>E09000017</t>
  </si>
  <si>
    <t>Hinckley &amp; Bosworth</t>
  </si>
  <si>
    <t>E2434</t>
  </si>
  <si>
    <t>E07000132</t>
  </si>
  <si>
    <t>Horsham</t>
  </si>
  <si>
    <t>E3835</t>
  </si>
  <si>
    <t>E07000227</t>
  </si>
  <si>
    <t>Hounslow</t>
  </si>
  <si>
    <t>E5042</t>
  </si>
  <si>
    <t>E09000018</t>
  </si>
  <si>
    <t xml:space="preserve">Huntingdonshire </t>
  </si>
  <si>
    <t>E0551</t>
  </si>
  <si>
    <t>E07000011</t>
  </si>
  <si>
    <t>Hyndburn</t>
  </si>
  <si>
    <t>E2336</t>
  </si>
  <si>
    <t>E07000120</t>
  </si>
  <si>
    <t>Ipswich</t>
  </si>
  <si>
    <t>E3533</t>
  </si>
  <si>
    <t>E07000202</t>
  </si>
  <si>
    <t xml:space="preserve">Isle of Wight </t>
  </si>
  <si>
    <t>E2101</t>
  </si>
  <si>
    <t>E06000046</t>
  </si>
  <si>
    <t>Isles of Scilly</t>
  </si>
  <si>
    <t>E4001</t>
  </si>
  <si>
    <t>E06000053</t>
  </si>
  <si>
    <t>Islington</t>
  </si>
  <si>
    <t>E5015</t>
  </si>
  <si>
    <t>E09000019</t>
  </si>
  <si>
    <t>Kensington &amp; Chelsea</t>
  </si>
  <si>
    <t>E5016</t>
  </si>
  <si>
    <t>E09000020</t>
  </si>
  <si>
    <t>Kings Lynn &amp; West Norfolk</t>
  </si>
  <si>
    <t>E2634</t>
  </si>
  <si>
    <t>E07000146</t>
  </si>
  <si>
    <t xml:space="preserve">Kingston upon Hull </t>
  </si>
  <si>
    <t>E2002</t>
  </si>
  <si>
    <t>E06000010</t>
  </si>
  <si>
    <t>Kingston upon Thames</t>
  </si>
  <si>
    <t>E5043</t>
  </si>
  <si>
    <t>E09000021</t>
  </si>
  <si>
    <t>Kirklees</t>
  </si>
  <si>
    <t>E4703</t>
  </si>
  <si>
    <t>E08000034</t>
  </si>
  <si>
    <t>Knowsley</t>
  </si>
  <si>
    <t>E4301</t>
  </si>
  <si>
    <t>E08000011</t>
  </si>
  <si>
    <t>Lambeth</t>
  </si>
  <si>
    <t>E5017</t>
  </si>
  <si>
    <t>E09000022</t>
  </si>
  <si>
    <t>Lancaster</t>
  </si>
  <si>
    <t>E2337</t>
  </si>
  <si>
    <t>E07000121</t>
  </si>
  <si>
    <t>Leeds</t>
  </si>
  <si>
    <t>E4704</t>
  </si>
  <si>
    <t>E08000035</t>
  </si>
  <si>
    <t xml:space="preserve">Leicester </t>
  </si>
  <si>
    <t>E2401</t>
  </si>
  <si>
    <t>E06000016</t>
  </si>
  <si>
    <t>Lewes</t>
  </si>
  <si>
    <t>E1435</t>
  </si>
  <si>
    <t>E07000063</t>
  </si>
  <si>
    <t>Lewisham</t>
  </si>
  <si>
    <t>E5018</t>
  </si>
  <si>
    <t>E09000023</t>
  </si>
  <si>
    <t>Lichfield</t>
  </si>
  <si>
    <t>E3433</t>
  </si>
  <si>
    <t>E07000194</t>
  </si>
  <si>
    <t>Lincoln</t>
  </si>
  <si>
    <t>E2533</t>
  </si>
  <si>
    <t>E07000138</t>
  </si>
  <si>
    <t>Liverpool</t>
  </si>
  <si>
    <t>E4302</t>
  </si>
  <si>
    <t>E08000012</t>
  </si>
  <si>
    <t xml:space="preserve">Luton </t>
  </si>
  <si>
    <t>E0201</t>
  </si>
  <si>
    <t>E06000032</t>
  </si>
  <si>
    <t>Maidstone</t>
  </si>
  <si>
    <t>E2237</t>
  </si>
  <si>
    <t>E07000110</t>
  </si>
  <si>
    <t>Maldon</t>
  </si>
  <si>
    <t>E1539</t>
  </si>
  <si>
    <t>E07000074</t>
  </si>
  <si>
    <t xml:space="preserve">Malvern Hills </t>
  </si>
  <si>
    <t>E1851</t>
  </si>
  <si>
    <t>E07000235</t>
  </si>
  <si>
    <t>Manchester</t>
  </si>
  <si>
    <t>E4203</t>
  </si>
  <si>
    <t>E08000003</t>
  </si>
  <si>
    <t>Mansfield</t>
  </si>
  <si>
    <t>E3035</t>
  </si>
  <si>
    <t>E07000174</t>
  </si>
  <si>
    <t xml:space="preserve">Medway </t>
  </si>
  <si>
    <t>E2201</t>
  </si>
  <si>
    <t>E06000035</t>
  </si>
  <si>
    <t>Melton</t>
  </si>
  <si>
    <t>E2436</t>
  </si>
  <si>
    <t>E07000133</t>
  </si>
  <si>
    <t>Merton</t>
  </si>
  <si>
    <t>E5044</t>
  </si>
  <si>
    <t>E09000024</t>
  </si>
  <si>
    <t>Mid Devon</t>
  </si>
  <si>
    <t>E1133</t>
  </si>
  <si>
    <t>E07000042</t>
  </si>
  <si>
    <t>Mid Suffolk</t>
  </si>
  <si>
    <t>E3534</t>
  </si>
  <si>
    <t>E07000203</t>
  </si>
  <si>
    <t>Mid Sussex</t>
  </si>
  <si>
    <t>E3836</t>
  </si>
  <si>
    <t>E07000228</t>
  </si>
  <si>
    <t xml:space="preserve">Middlesbrough </t>
  </si>
  <si>
    <t>E0702</t>
  </si>
  <si>
    <t>E06000002</t>
  </si>
  <si>
    <t xml:space="preserve">Milton Keynes </t>
  </si>
  <si>
    <t>E0401</t>
  </si>
  <si>
    <t>E06000042</t>
  </si>
  <si>
    <t>Mole Valley</t>
  </si>
  <si>
    <t>E3634</t>
  </si>
  <si>
    <t>E07000210</t>
  </si>
  <si>
    <t>New Forest</t>
  </si>
  <si>
    <t>E1738</t>
  </si>
  <si>
    <t>E07000091</t>
  </si>
  <si>
    <t>Newark &amp; Sherwood</t>
  </si>
  <si>
    <t>E3036</t>
  </si>
  <si>
    <t>E07000175</t>
  </si>
  <si>
    <t>Newcastle upon Tyne</t>
  </si>
  <si>
    <t>E4502</t>
  </si>
  <si>
    <t>E08000021</t>
  </si>
  <si>
    <t>Newcastle-under-Lyme</t>
  </si>
  <si>
    <t>E3434</t>
  </si>
  <si>
    <t>E07000195</t>
  </si>
  <si>
    <t>Newham</t>
  </si>
  <si>
    <t>E5045</t>
  </si>
  <si>
    <t>E09000025</t>
  </si>
  <si>
    <t>North Devon</t>
  </si>
  <si>
    <t>E1134</t>
  </si>
  <si>
    <t>E07000043</t>
  </si>
  <si>
    <t>North East Derbyshire</t>
  </si>
  <si>
    <t>E1038</t>
  </si>
  <si>
    <t>E07000038</t>
  </si>
  <si>
    <t xml:space="preserve">North East Lincolnshire </t>
  </si>
  <si>
    <t>E2003</t>
  </si>
  <si>
    <t>E06000012</t>
  </si>
  <si>
    <t>North Hertfordshire</t>
  </si>
  <si>
    <t>E1935</t>
  </si>
  <si>
    <t>E07000099</t>
  </si>
  <si>
    <t>North Kesteven</t>
  </si>
  <si>
    <t>E2534</t>
  </si>
  <si>
    <t>E07000139</t>
  </si>
  <si>
    <t xml:space="preserve">North Lincolnshire </t>
  </si>
  <si>
    <t>E2004</t>
  </si>
  <si>
    <t>E06000013</t>
  </si>
  <si>
    <t>North Norfolk</t>
  </si>
  <si>
    <t>E2635</t>
  </si>
  <si>
    <t>E07000147</t>
  </si>
  <si>
    <t>North Northamptonshire</t>
  </si>
  <si>
    <t>E2801</t>
  </si>
  <si>
    <t>E06000061</t>
  </si>
  <si>
    <t xml:space="preserve">North Somerset </t>
  </si>
  <si>
    <t>E0104</t>
  </si>
  <si>
    <t>E06000024</t>
  </si>
  <si>
    <t>North Tyneside</t>
  </si>
  <si>
    <t>E4503</t>
  </si>
  <si>
    <t>E08000022</t>
  </si>
  <si>
    <t>North Warwickshire</t>
  </si>
  <si>
    <t>E3731</t>
  </si>
  <si>
    <t>E07000218</t>
  </si>
  <si>
    <t>North West Leicestershire</t>
  </si>
  <si>
    <t>E2437</t>
  </si>
  <si>
    <t>E07000134</t>
  </si>
  <si>
    <t>North Yorkshire</t>
  </si>
  <si>
    <t>E2702</t>
  </si>
  <si>
    <t>E06000065</t>
  </si>
  <si>
    <t xml:space="preserve">Northumberland </t>
  </si>
  <si>
    <t>E2901</t>
  </si>
  <si>
    <t>E06000057</t>
  </si>
  <si>
    <t>Norwich</t>
  </si>
  <si>
    <t>E2636</t>
  </si>
  <si>
    <t>E07000148</t>
  </si>
  <si>
    <t xml:space="preserve">Nottingham  </t>
  </si>
  <si>
    <t>E3001</t>
  </si>
  <si>
    <t>E06000018</t>
  </si>
  <si>
    <t>Nuneaton &amp; Bedworth</t>
  </si>
  <si>
    <t>E3732</t>
  </si>
  <si>
    <t>E07000219</t>
  </si>
  <si>
    <t>Oadby &amp; Wigston</t>
  </si>
  <si>
    <t>E2438</t>
  </si>
  <si>
    <t>E07000135</t>
  </si>
  <si>
    <t>Oldham</t>
  </si>
  <si>
    <t>E4204</t>
  </si>
  <si>
    <t>E08000004</t>
  </si>
  <si>
    <t>Oxford</t>
  </si>
  <si>
    <t>E3132</t>
  </si>
  <si>
    <t>E07000178</t>
  </si>
  <si>
    <t>Pendle</t>
  </si>
  <si>
    <t>E2338</t>
  </si>
  <si>
    <t>E07000122</t>
  </si>
  <si>
    <t xml:space="preserve">Peterborough </t>
  </si>
  <si>
    <t>E0501</t>
  </si>
  <si>
    <t>E06000031</t>
  </si>
  <si>
    <t xml:space="preserve">Plymouth </t>
  </si>
  <si>
    <t>E1101</t>
  </si>
  <si>
    <t>E06000026</t>
  </si>
  <si>
    <t xml:space="preserve">Portsmouth </t>
  </si>
  <si>
    <t>E1701</t>
  </si>
  <si>
    <t>E06000044</t>
  </si>
  <si>
    <t>Preston</t>
  </si>
  <si>
    <t>E2339</t>
  </si>
  <si>
    <t>E07000123</t>
  </si>
  <si>
    <t xml:space="preserve">Reading </t>
  </si>
  <si>
    <t>E0303</t>
  </si>
  <si>
    <t>E06000038</t>
  </si>
  <si>
    <t>Redbridge</t>
  </si>
  <si>
    <t>E5046</t>
  </si>
  <si>
    <t>E09000026</t>
  </si>
  <si>
    <t xml:space="preserve">Redcar &amp; Cleveland </t>
  </si>
  <si>
    <t>E0703</t>
  </si>
  <si>
    <t>E06000003</t>
  </si>
  <si>
    <t>Redditch</t>
  </si>
  <si>
    <t>E1835</t>
  </si>
  <si>
    <t>E07000236</t>
  </si>
  <si>
    <t>Reigate &amp; Banstead</t>
  </si>
  <si>
    <t>E3635</t>
  </si>
  <si>
    <t>E07000211</t>
  </si>
  <si>
    <t>Ribble Valley</t>
  </si>
  <si>
    <t>E2340</t>
  </si>
  <si>
    <t>E07000124</t>
  </si>
  <si>
    <t>Richmond upon Thames</t>
  </si>
  <si>
    <t>E5047</t>
  </si>
  <si>
    <t>E09000027</t>
  </si>
  <si>
    <t>Rochdale</t>
  </si>
  <si>
    <t>E4205</t>
  </si>
  <si>
    <t>E08000005</t>
  </si>
  <si>
    <t>Rochford</t>
  </si>
  <si>
    <t>E1540</t>
  </si>
  <si>
    <t>E07000075</t>
  </si>
  <si>
    <t>Rossendale</t>
  </si>
  <si>
    <t>E2341</t>
  </si>
  <si>
    <t>E07000125</t>
  </si>
  <si>
    <t>Rother</t>
  </si>
  <si>
    <t>E1436</t>
  </si>
  <si>
    <t>E07000064</t>
  </si>
  <si>
    <t>Rotherham</t>
  </si>
  <si>
    <t>E4403</t>
  </si>
  <si>
    <t>E08000018</t>
  </si>
  <si>
    <t>Rugby</t>
  </si>
  <si>
    <t>E3733</t>
  </si>
  <si>
    <t>E07000220</t>
  </si>
  <si>
    <t>Runnymede</t>
  </si>
  <si>
    <t>E3636</t>
  </si>
  <si>
    <t>E07000212</t>
  </si>
  <si>
    <t>Rushcliffe</t>
  </si>
  <si>
    <t>E3038</t>
  </si>
  <si>
    <t>E07000176</t>
  </si>
  <si>
    <t>Rushmoor</t>
  </si>
  <si>
    <t>E1740</t>
  </si>
  <si>
    <t>E07000092</t>
  </si>
  <si>
    <t xml:space="preserve">Rutland </t>
  </si>
  <si>
    <t>E2402</t>
  </si>
  <si>
    <t>E06000017</t>
  </si>
  <si>
    <t>Salford</t>
  </si>
  <si>
    <t>E4206</t>
  </si>
  <si>
    <t>E08000006</t>
  </si>
  <si>
    <t>Sandwell</t>
  </si>
  <si>
    <t>E4604</t>
  </si>
  <si>
    <t>E08000028</t>
  </si>
  <si>
    <t>Sefton</t>
  </si>
  <si>
    <t>E4304</t>
  </si>
  <si>
    <t>E08000014</t>
  </si>
  <si>
    <t>Sevenoaks</t>
  </si>
  <si>
    <t>E2239</t>
  </si>
  <si>
    <t>E07000111</t>
  </si>
  <si>
    <t>Sheffield</t>
  </si>
  <si>
    <t>E4404</t>
  </si>
  <si>
    <t>E08000019</t>
  </si>
  <si>
    <t xml:space="preserve">Shropshire </t>
  </si>
  <si>
    <t>E3202</t>
  </si>
  <si>
    <t>E06000051</t>
  </si>
  <si>
    <t xml:space="preserve">Slough </t>
  </si>
  <si>
    <t>E0304</t>
  </si>
  <si>
    <t>E06000039</t>
  </si>
  <si>
    <t>Solihull</t>
  </si>
  <si>
    <t>E4605</t>
  </si>
  <si>
    <t>E08000029</t>
  </si>
  <si>
    <t>Somerset</t>
  </si>
  <si>
    <t>E3301</t>
  </si>
  <si>
    <t>E06000066</t>
  </si>
  <si>
    <t>South Cambridgeshire</t>
  </si>
  <si>
    <t>E0536</t>
  </si>
  <si>
    <t>E07000012</t>
  </si>
  <si>
    <t>South Derbyshire</t>
  </si>
  <si>
    <t>E1039</t>
  </si>
  <si>
    <t>E07000039</t>
  </si>
  <si>
    <t xml:space="preserve">South Gloucestershire </t>
  </si>
  <si>
    <t>E0103</t>
  </si>
  <si>
    <t>E06000025</t>
  </si>
  <si>
    <t>South Hams</t>
  </si>
  <si>
    <t>E1136</t>
  </si>
  <si>
    <t>E07000044</t>
  </si>
  <si>
    <t>South Holland</t>
  </si>
  <si>
    <t>E2535</t>
  </si>
  <si>
    <t>E07000140</t>
  </si>
  <si>
    <t>South Kesteven</t>
  </si>
  <si>
    <t>E2536</t>
  </si>
  <si>
    <t>E07000141</t>
  </si>
  <si>
    <t>South Norfolk</t>
  </si>
  <si>
    <t>E2637</t>
  </si>
  <si>
    <t>E07000149</t>
  </si>
  <si>
    <t>South Oxfordshire</t>
  </si>
  <si>
    <t>E3133</t>
  </si>
  <si>
    <t>E07000179</t>
  </si>
  <si>
    <t>South Ribble</t>
  </si>
  <si>
    <t>E2342</t>
  </si>
  <si>
    <t>E07000126</t>
  </si>
  <si>
    <t>South Staffordshire</t>
  </si>
  <si>
    <t>E3435</t>
  </si>
  <si>
    <t>E07000196</t>
  </si>
  <si>
    <t>South Tyneside</t>
  </si>
  <si>
    <t>E4504</t>
  </si>
  <si>
    <t>E08000023</t>
  </si>
  <si>
    <t xml:space="preserve">Southampton </t>
  </si>
  <si>
    <t>E1702</t>
  </si>
  <si>
    <t>E06000045</t>
  </si>
  <si>
    <t xml:space="preserve">Southend-on-Sea </t>
  </si>
  <si>
    <t>E1501</t>
  </si>
  <si>
    <t>E06000033</t>
  </si>
  <si>
    <t>Southwark</t>
  </si>
  <si>
    <t>E5019</t>
  </si>
  <si>
    <t>E09000028</t>
  </si>
  <si>
    <t>Spelthorne</t>
  </si>
  <si>
    <t>E3637</t>
  </si>
  <si>
    <t>E07000213</t>
  </si>
  <si>
    <t>St Albans</t>
  </si>
  <si>
    <t>E1936</t>
  </si>
  <si>
    <t>E07000240</t>
  </si>
  <si>
    <t>St Helens</t>
  </si>
  <si>
    <t>E4303</t>
  </si>
  <si>
    <t>E08000013</t>
  </si>
  <si>
    <t>Stafford</t>
  </si>
  <si>
    <t>E3436</t>
  </si>
  <si>
    <t>E07000197</t>
  </si>
  <si>
    <t>Staffordshire Moorlands</t>
  </si>
  <si>
    <t>E3437</t>
  </si>
  <si>
    <t>E07000198</t>
  </si>
  <si>
    <t>Stevenage</t>
  </si>
  <si>
    <t>E1937</t>
  </si>
  <si>
    <t>E07000243</t>
  </si>
  <si>
    <t>Stockport</t>
  </si>
  <si>
    <t>E4207</t>
  </si>
  <si>
    <t>E08000007</t>
  </si>
  <si>
    <t xml:space="preserve">Stockton-on-Tees </t>
  </si>
  <si>
    <t>E0704</t>
  </si>
  <si>
    <t>E06000004</t>
  </si>
  <si>
    <t xml:space="preserve">Stoke-on-Trent </t>
  </si>
  <si>
    <t>E3401</t>
  </si>
  <si>
    <t>E06000021</t>
  </si>
  <si>
    <t>Stratford-on-Avon</t>
  </si>
  <si>
    <t>E3734</t>
  </si>
  <si>
    <t>E07000221</t>
  </si>
  <si>
    <t>Stroud</t>
  </si>
  <si>
    <t>E1635</t>
  </si>
  <si>
    <t>E07000082</t>
  </si>
  <si>
    <t>Sunderland</t>
  </si>
  <si>
    <t>E4505</t>
  </si>
  <si>
    <t>E08000024</t>
  </si>
  <si>
    <t>Surrey Heath</t>
  </si>
  <si>
    <t>E3638</t>
  </si>
  <si>
    <t>E07000214</t>
  </si>
  <si>
    <t>Sutton</t>
  </si>
  <si>
    <t>E5048</t>
  </si>
  <si>
    <t>E09000029</t>
  </si>
  <si>
    <t>Swale</t>
  </si>
  <si>
    <t>E2241</t>
  </si>
  <si>
    <t>E07000113</t>
  </si>
  <si>
    <t xml:space="preserve">Swindon </t>
  </si>
  <si>
    <t>E3901</t>
  </si>
  <si>
    <t>E06000030</t>
  </si>
  <si>
    <t>Tameside</t>
  </si>
  <si>
    <t>E4208</t>
  </si>
  <si>
    <t>E08000008</t>
  </si>
  <si>
    <t>Tamworth</t>
  </si>
  <si>
    <t>E3439</t>
  </si>
  <si>
    <t>E07000199</t>
  </si>
  <si>
    <t>Tandridge</t>
  </si>
  <si>
    <t>E3639</t>
  </si>
  <si>
    <t>E07000215</t>
  </si>
  <si>
    <t>Teignbridge</t>
  </si>
  <si>
    <t>E1137</t>
  </si>
  <si>
    <t>E07000045</t>
  </si>
  <si>
    <t xml:space="preserve">Telford &amp; Wrekin </t>
  </si>
  <si>
    <t>E3201</t>
  </si>
  <si>
    <t>E06000020</t>
  </si>
  <si>
    <t>Tendring</t>
  </si>
  <si>
    <t>E1542</t>
  </si>
  <si>
    <t>E07000076</t>
  </si>
  <si>
    <t>Test Valley</t>
  </si>
  <si>
    <t>E1742</t>
  </si>
  <si>
    <t>E07000093</t>
  </si>
  <si>
    <t>Tewkesbury</t>
  </si>
  <si>
    <t>E1636</t>
  </si>
  <si>
    <t>E07000083</t>
  </si>
  <si>
    <t>Thanet</t>
  </si>
  <si>
    <t>E2242</t>
  </si>
  <si>
    <t>E07000114</t>
  </si>
  <si>
    <t>Three Rivers</t>
  </si>
  <si>
    <t>E1938</t>
  </si>
  <si>
    <t>E07000102</t>
  </si>
  <si>
    <t xml:space="preserve">Thurrock </t>
  </si>
  <si>
    <t>E1502</t>
  </si>
  <si>
    <t>E06000034</t>
  </si>
  <si>
    <t>Tonbridge &amp; Malling</t>
  </si>
  <si>
    <t>E2243</t>
  </si>
  <si>
    <t>E07000115</t>
  </si>
  <si>
    <t xml:space="preserve">Torbay </t>
  </si>
  <si>
    <t>E1102</t>
  </si>
  <si>
    <t>E06000027</t>
  </si>
  <si>
    <t>Torridge</t>
  </si>
  <si>
    <t>E1139</t>
  </si>
  <si>
    <t>E07000046</t>
  </si>
  <si>
    <t>Tower Hamlets</t>
  </si>
  <si>
    <t>E5020</t>
  </si>
  <si>
    <t>E09000030</t>
  </si>
  <si>
    <t>Trafford</t>
  </si>
  <si>
    <t>E4209</t>
  </si>
  <si>
    <t>E08000009</t>
  </si>
  <si>
    <t>Tunbridge Wells</t>
  </si>
  <si>
    <t>E2244</t>
  </si>
  <si>
    <t>E07000116</t>
  </si>
  <si>
    <t>Uttlesford</t>
  </si>
  <si>
    <t>E1544</t>
  </si>
  <si>
    <t>E07000077</t>
  </si>
  <si>
    <t>Vale of White Horse</t>
  </si>
  <si>
    <t>E3134</t>
  </si>
  <si>
    <t>E07000180</t>
  </si>
  <si>
    <t>Wakefield</t>
  </si>
  <si>
    <t>E4705</t>
  </si>
  <si>
    <t>E08000036</t>
  </si>
  <si>
    <t>Walsall</t>
  </si>
  <si>
    <t>E4606</t>
  </si>
  <si>
    <t>E08000030</t>
  </si>
  <si>
    <t>Waltham Forest</t>
  </si>
  <si>
    <t>E5049</t>
  </si>
  <si>
    <t>E09000031</t>
  </si>
  <si>
    <t>Wandsworth</t>
  </si>
  <si>
    <t>E5021</t>
  </si>
  <si>
    <t>E09000032</t>
  </si>
  <si>
    <t xml:space="preserve">Warrington </t>
  </si>
  <si>
    <t>E0602</t>
  </si>
  <si>
    <t>E06000007</t>
  </si>
  <si>
    <t>Warwick</t>
  </si>
  <si>
    <t>E3735</t>
  </si>
  <si>
    <t>E07000222</t>
  </si>
  <si>
    <t>Watford</t>
  </si>
  <si>
    <t>E1939</t>
  </si>
  <si>
    <t>E07000103</t>
  </si>
  <si>
    <t>Waverley</t>
  </si>
  <si>
    <t>E3640</t>
  </si>
  <si>
    <t>E07000216</t>
  </si>
  <si>
    <t>Wealden</t>
  </si>
  <si>
    <t>E1437</t>
  </si>
  <si>
    <t>E07000065</t>
  </si>
  <si>
    <t>Welwyn Hatfield</t>
  </si>
  <si>
    <t>E1940</t>
  </si>
  <si>
    <t>E07000241</t>
  </si>
  <si>
    <t xml:space="preserve">West Berkshire </t>
  </si>
  <si>
    <t>E0302</t>
  </si>
  <si>
    <t>E06000037</t>
  </si>
  <si>
    <t>West Devon</t>
  </si>
  <si>
    <t>E1140</t>
  </si>
  <si>
    <t>E07000047</t>
  </si>
  <si>
    <t>West Lancashire</t>
  </si>
  <si>
    <t>E2343</t>
  </si>
  <si>
    <t>E07000127</t>
  </si>
  <si>
    <t>West Lindsey</t>
  </si>
  <si>
    <t>E2537</t>
  </si>
  <si>
    <t>E07000142</t>
  </si>
  <si>
    <t>West Northamptonshire</t>
  </si>
  <si>
    <t>E2802</t>
  </si>
  <si>
    <t>E06000062</t>
  </si>
  <si>
    <t>West Oxfordshire</t>
  </si>
  <si>
    <t>E3135</t>
  </si>
  <si>
    <t>E07000181</t>
  </si>
  <si>
    <t>West Suffolk</t>
  </si>
  <si>
    <t>E3539</t>
  </si>
  <si>
    <t>E07000245</t>
  </si>
  <si>
    <t>Westminster</t>
  </si>
  <si>
    <t>E5022</t>
  </si>
  <si>
    <t>E09000033</t>
  </si>
  <si>
    <t>Westmorland and Furness</t>
  </si>
  <si>
    <t>E0902</t>
  </si>
  <si>
    <t>E06000064</t>
  </si>
  <si>
    <t>Wigan</t>
  </si>
  <si>
    <t>E4210</t>
  </si>
  <si>
    <t>E08000010</t>
  </si>
  <si>
    <t xml:space="preserve">Wiltshire </t>
  </si>
  <si>
    <t>E3902</t>
  </si>
  <si>
    <t>E06000054</t>
  </si>
  <si>
    <t>Winchester</t>
  </si>
  <si>
    <t>E1743</t>
  </si>
  <si>
    <t>E07000094</t>
  </si>
  <si>
    <t xml:space="preserve">Windsor &amp; Maidenhead </t>
  </si>
  <si>
    <t>E0305</t>
  </si>
  <si>
    <t>E06000040</t>
  </si>
  <si>
    <t>Wirral</t>
  </si>
  <si>
    <t>E4305</t>
  </si>
  <si>
    <t>E08000015</t>
  </si>
  <si>
    <t>Woking</t>
  </si>
  <si>
    <t>E3641</t>
  </si>
  <si>
    <t>E07000217</t>
  </si>
  <si>
    <t xml:space="preserve">Wokingham </t>
  </si>
  <si>
    <t>E0306</t>
  </si>
  <si>
    <t>E06000041</t>
  </si>
  <si>
    <t>Wolverhampton</t>
  </si>
  <si>
    <t>E4607</t>
  </si>
  <si>
    <t>E08000031</t>
  </si>
  <si>
    <t>Worcester</t>
  </si>
  <si>
    <t>E1837</t>
  </si>
  <si>
    <t>E07000237</t>
  </si>
  <si>
    <t>Worthing</t>
  </si>
  <si>
    <t>E3837</t>
  </si>
  <si>
    <t>E07000229</t>
  </si>
  <si>
    <t>Wychavon</t>
  </si>
  <si>
    <t>E1838</t>
  </si>
  <si>
    <t>E07000238</t>
  </si>
  <si>
    <t>Wyre</t>
  </si>
  <si>
    <t>E2344</t>
  </si>
  <si>
    <t>E07000128</t>
  </si>
  <si>
    <t>Wyre Forest</t>
  </si>
  <si>
    <t>E1839</t>
  </si>
  <si>
    <t>E07000239</t>
  </si>
  <si>
    <t xml:space="preserve">York </t>
  </si>
  <si>
    <t>E2701</t>
  </si>
  <si>
    <t>E06000014</t>
  </si>
  <si>
    <t>Estimate of non-domestic rates amount collectable in the year
2024-25
(£ thousand)</t>
  </si>
  <si>
    <t>Amount of non-domestic rates collected by 31 March 2025 relating to
2024-25
(£ thousand)</t>
  </si>
  <si>
    <t>Amount of non-domestic rates collected by 31 March 2025 as a percentage of amount collectable
2024-25
(%)</t>
  </si>
  <si>
    <t>Estimate of non-domestic rates amount collectable in the year
2025-26
(£ thousand)</t>
  </si>
  <si>
    <t>Amount of non-domestic rates collected by 31 March 2026 relating to 
2025-26
(£ thousand)</t>
  </si>
  <si>
    <t>Amount of non-domestic rates  collected by 31 March 2026 as a percentage of amount collectable
2025-26
(%)</t>
  </si>
  <si>
    <t>South East</t>
  </si>
  <si>
    <t>East</t>
  </si>
  <si>
    <t>Barking and Dagenham</t>
  </si>
  <si>
    <t>Yorkshire &amp; the Humber</t>
  </si>
  <si>
    <t>South West</t>
  </si>
  <si>
    <t>Bedford</t>
  </si>
  <si>
    <t>Blackburn with Darwen</t>
  </si>
  <si>
    <t>North West</t>
  </si>
  <si>
    <t>Blackpool</t>
  </si>
  <si>
    <t>Bournemouth, Christchurch and Poole</t>
  </si>
  <si>
    <t>Bracknell Forest</t>
  </si>
  <si>
    <t>Braintree</t>
  </si>
  <si>
    <t>Brighton &amp; Hove</t>
  </si>
  <si>
    <t>Buckinghamshire</t>
  </si>
  <si>
    <t>Central Bedfordshire</t>
  </si>
  <si>
    <t>Cheshire East</t>
  </si>
  <si>
    <t>Cheshire West and Chester</t>
  </si>
  <si>
    <t>Cornwall</t>
  </si>
  <si>
    <t>Darlington</t>
  </si>
  <si>
    <t>North East</t>
  </si>
  <si>
    <t>Derby</t>
  </si>
  <si>
    <t>Durham</t>
  </si>
  <si>
    <t>East Riding of Yorkshire</t>
  </si>
  <si>
    <t>Epsom &amp; Ewell</t>
  </si>
  <si>
    <t>Hammersmith and Fulham</t>
  </si>
  <si>
    <t>Hartlepool</t>
  </si>
  <si>
    <t>Herefordshire</t>
  </si>
  <si>
    <t>Hinckley and Bosworth</t>
  </si>
  <si>
    <t>Huntingdonshire</t>
  </si>
  <si>
    <t>Isle of Wight</t>
  </si>
  <si>
    <t>Kensington and Chelsea</t>
  </si>
  <si>
    <t>King's Lynn and West Norfolk</t>
  </si>
  <si>
    <t>Kingston upon Hull</t>
  </si>
  <si>
    <t>Leicester</t>
  </si>
  <si>
    <t>Luton</t>
  </si>
  <si>
    <t>Malvern Hills</t>
  </si>
  <si>
    <t>Medway</t>
  </si>
  <si>
    <t>Middlesbrough</t>
  </si>
  <si>
    <t>Milton Keynes</t>
  </si>
  <si>
    <t>Newark and Sherwood</t>
  </si>
  <si>
    <t>North East Lincolnshire</t>
  </si>
  <si>
    <t>North Lincolnshire</t>
  </si>
  <si>
    <t>North Somerset</t>
  </si>
  <si>
    <t>Northumberland</t>
  </si>
  <si>
    <t>Nottingham</t>
  </si>
  <si>
    <t>Nuneaton and Bedworth</t>
  </si>
  <si>
    <t>Oadby and Wigston</t>
  </si>
  <si>
    <t>Peterborough</t>
  </si>
  <si>
    <t>Plymouth</t>
  </si>
  <si>
    <t>Portsmouth</t>
  </si>
  <si>
    <t>Reading</t>
  </si>
  <si>
    <t>Redcar and Cleveland</t>
  </si>
  <si>
    <t>Reigate and Banstead</t>
  </si>
  <si>
    <t>Rutland</t>
  </si>
  <si>
    <t>Shropshire</t>
  </si>
  <si>
    <t>Slough</t>
  </si>
  <si>
    <t>South Gloucestershire</t>
  </si>
  <si>
    <t>Southampton</t>
  </si>
  <si>
    <t>Southend-on-Sea</t>
  </si>
  <si>
    <t>Stockton-on-Tees</t>
  </si>
  <si>
    <t>Stoke-on-Trent</t>
  </si>
  <si>
    <t>Swindon</t>
  </si>
  <si>
    <t>Telford and Wrekin</t>
  </si>
  <si>
    <t>Thurrock</t>
  </si>
  <si>
    <t>Tonbridge and Malling</t>
  </si>
  <si>
    <t>Torbay</t>
  </si>
  <si>
    <t>Warrington</t>
  </si>
  <si>
    <t>West Berkshire</t>
  </si>
  <si>
    <t>Wiltshire</t>
  </si>
  <si>
    <t>Windsor and Maidenhead</t>
  </si>
  <si>
    <t>Wokingham</t>
  </si>
  <si>
    <t>York</t>
  </si>
  <si>
    <t>TE</t>
  </si>
  <si>
    <t>-</t>
  </si>
  <si>
    <t>Inner London</t>
  </si>
  <si>
    <t>Outer London</t>
  </si>
  <si>
    <t>Metropolitan</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</si>
</sst>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 &quot;* #,##0.0&quot; &quot;;&quot;-&quot;* #,##0.0&quot; &quot;;&quot; &quot;* &quot;-&quot;#&quot; &quot;;&quot; &quot;@&quot; &quot;"/>
    <numFmt numFmtId="165" formatCode="&quot; &quot;* #,##0.00&quot; &quot;;&quot; &quot;* &quot;(&quot;#,##0.00&quot;)&quot;;&quot; &quot;* &quot;-&quot;#&quot; &quot;;&quot; &quot;@&quot; &quot;"/>
    <numFmt numFmtId="166" formatCode="&quot; &quot;* #,##0.00&quot; &quot;;&quot;-&quot;* #,##0.00&quot; &quot;;&quot; &quot;* &quot;-&quot;#&quot; &quot;;&quot; &quot;@&quot; &quot;"/>
  </numFmts>
  <fonts count="48" x14ac:knownFonts="1">
    <font>
      <sz val="10"/>
      <color rgb="FF000000"/>
      <name val="Arial"/>
      <family val="2"/>
    </font>
    <font>
      <sz val="10"/>
      <color rgb="FF000000"/>
      <name val="Arial"/>
      <family val="2"/>
    </font>
    <font>
      <sz val="11"/>
      <color rgb="FF000000"/>
      <name val="Calibri"/>
      <family val="2"/>
    </font>
    <font>
      <sz val="12"/>
      <color rgb="FF000000"/>
      <name val="Arial"/>
      <family val="2"/>
    </font>
    <font>
      <sz val="11"/>
      <color rgb="FFFFFFFF"/>
      <name val="Calibri"/>
      <family val="2"/>
    </font>
    <font>
      <sz val="12"/>
      <color rgb="FFFFFFFF"/>
      <name val="Arial"/>
      <family val="2"/>
    </font>
    <font>
      <sz val="11"/>
      <color rgb="FF800080"/>
      <name val="Calibri"/>
      <family val="2"/>
    </font>
    <font>
      <sz val="12"/>
      <color rgb="FF9C0006"/>
      <name val="Arial"/>
      <family val="2"/>
    </font>
    <font>
      <b/>
      <sz val="11"/>
      <color rgb="FFFF0000"/>
      <name val="Calibri"/>
      <family val="2"/>
    </font>
    <font>
      <b/>
      <sz val="12"/>
      <color rgb="FFFA7D00"/>
      <name val="Arial"/>
      <family val="2"/>
    </font>
    <font>
      <b/>
      <sz val="10"/>
      <color rgb="FF000000"/>
      <name val="Arial"/>
      <family val="2"/>
    </font>
    <font>
      <sz val="10"/>
      <color rgb="FF9C0006"/>
      <name val="Arial"/>
      <family val="2"/>
    </font>
    <font>
      <b/>
      <sz val="11"/>
      <color rgb="FFFFFFFF"/>
      <name val="Calibri"/>
      <family val="2"/>
    </font>
    <font>
      <b/>
      <sz val="12"/>
      <color rgb="FFFFFFFF"/>
      <name val="Arial"/>
      <family val="2"/>
    </font>
    <font>
      <i/>
      <sz val="11"/>
      <color rgb="FF808080"/>
      <name val="Calibri"/>
      <family val="2"/>
    </font>
    <font>
      <i/>
      <sz val="12"/>
      <color rgb="FF7F7F7F"/>
      <name val="Arial"/>
      <family val="2"/>
    </font>
    <font>
      <sz val="11"/>
      <color rgb="FF008000"/>
      <name val="Calibri"/>
      <family val="2"/>
    </font>
    <font>
      <sz val="12"/>
      <color rgb="FF006100"/>
      <name val="Arial"/>
      <family val="2"/>
    </font>
    <font>
      <b/>
      <sz val="15"/>
      <color rgb="FF333399"/>
      <name val="Calibri"/>
      <family val="2"/>
    </font>
    <font>
      <b/>
      <sz val="15"/>
      <color rgb="FF1F497D"/>
      <name val="Arial"/>
      <family val="2"/>
    </font>
    <font>
      <b/>
      <sz val="13"/>
      <color rgb="FF333399"/>
      <name val="Calibri"/>
      <family val="2"/>
    </font>
    <font>
      <b/>
      <sz val="13"/>
      <color rgb="FF1F497D"/>
      <name val="Arial"/>
      <family val="2"/>
    </font>
    <font>
      <b/>
      <sz val="11"/>
      <color rgb="FF333399"/>
      <name val="Calibri"/>
      <family val="2"/>
    </font>
    <font>
      <b/>
      <sz val="11"/>
      <color rgb="FF1F497D"/>
      <name val="Arial"/>
      <family val="2"/>
    </font>
    <font>
      <u/>
      <sz val="9"/>
      <color rgb="FF0000FF"/>
      <name val="Arial"/>
      <family val="2"/>
    </font>
    <font>
      <u/>
      <sz val="12"/>
      <color rgb="FF0000FF"/>
      <name val="Arial"/>
      <family val="2"/>
    </font>
    <font>
      <u/>
      <sz val="10"/>
      <color rgb="FF0000FF"/>
      <name val="Arial"/>
      <family val="2"/>
    </font>
    <font>
      <sz val="11"/>
      <color rgb="FF333399"/>
      <name val="Calibri"/>
      <family val="2"/>
    </font>
    <font>
      <sz val="12"/>
      <color rgb="FF3F3F76"/>
      <name val="Arial"/>
      <family val="2"/>
    </font>
    <font>
      <sz val="11"/>
      <color rgb="FFFF0000"/>
      <name val="Calibri"/>
      <family val="2"/>
    </font>
    <font>
      <sz val="12"/>
      <color rgb="FFFA7D00"/>
      <name val="Arial"/>
      <family val="2"/>
    </font>
    <font>
      <sz val="11"/>
      <color rgb="FF808000"/>
      <name val="Calibri"/>
      <family val="2"/>
    </font>
    <font>
      <sz val="12"/>
      <color rgb="FF9C6500"/>
      <name val="Arial"/>
      <family val="2"/>
    </font>
    <font>
      <b/>
      <sz val="11"/>
      <color rgb="FF333333"/>
      <name val="Calibri"/>
      <family val="2"/>
    </font>
    <font>
      <b/>
      <sz val="12"/>
      <color rgb="FF3F3F3F"/>
      <name val="Arial"/>
      <family val="2"/>
    </font>
    <font>
      <b/>
      <sz val="18"/>
      <color rgb="FF333399"/>
      <name val="Cambria"/>
      <family val="1"/>
    </font>
    <font>
      <b/>
      <sz val="18"/>
      <color rgb="FF1F497D"/>
      <name val="Cambria"/>
      <family val="1"/>
    </font>
    <font>
      <b/>
      <sz val="11"/>
      <color rgb="FF000000"/>
      <name val="Calibri"/>
      <family val="2"/>
    </font>
    <font>
      <b/>
      <sz val="12"/>
      <color rgb="FF000000"/>
      <name val="Arial"/>
      <family val="2"/>
    </font>
    <font>
      <sz val="12"/>
      <color rgb="FFFF0000"/>
      <name val="Arial"/>
      <family val="2"/>
    </font>
    <font>
      <b/>
      <sz val="16"/>
      <color rgb="FF000000"/>
      <name val="Arial"/>
      <family val="2"/>
    </font>
    <font>
      <b/>
      <sz val="14"/>
      <color rgb="FF000000"/>
      <name val="Arial"/>
      <family val="2"/>
    </font>
    <font>
      <sz val="14"/>
      <color rgb="FF000000"/>
      <name val="Arial"/>
      <family val="2"/>
    </font>
    <font>
      <u/>
      <sz val="12"/>
      <color rgb="FF000000"/>
      <name val="Arial"/>
      <family val="2"/>
    </font>
    <font>
      <u/>
      <sz val="14"/>
      <color rgb="FF000000"/>
      <name val="Arial"/>
      <family val="2"/>
    </font>
    <font>
      <sz val="16"/>
      <color rgb="FF000000"/>
      <name val="Arial"/>
      <family val="2"/>
    </font>
    <font>
      <sz val="11"/>
      <color rgb="FF000000"/>
      <name val="Arial"/>
      <family val="2"/>
    </font>
    <font>
      <sz val="12"/>
      <color rgb="FF000000"/>
      <name val="Times New Roman"/>
      <family val="1"/>
    </font>
  </fonts>
  <fills count="47">
    <fill>
      <patternFill patternType="none"/>
    </fill>
    <fill>
      <patternFill patternType="gray125"/>
    </fill>
    <fill>
      <patternFill patternType="solid">
        <fgColor rgb="FF99CCFF"/>
        <bgColor rgb="FF99CCFF"/>
      </patternFill>
    </fill>
    <fill>
      <patternFill patternType="solid">
        <fgColor rgb="FFDCE6F1"/>
        <bgColor rgb="FFDCE6F1"/>
      </patternFill>
    </fill>
    <fill>
      <patternFill patternType="solid">
        <fgColor rgb="FFFF8080"/>
        <bgColor rgb="FFFF8080"/>
      </patternFill>
    </fill>
    <fill>
      <patternFill patternType="solid">
        <fgColor rgb="FFF2DCDB"/>
        <bgColor rgb="FFF2DCDB"/>
      </patternFill>
    </fill>
    <fill>
      <patternFill patternType="solid">
        <fgColor rgb="FFFFFFCC"/>
        <bgColor rgb="FFFFFFCC"/>
      </patternFill>
    </fill>
    <fill>
      <patternFill patternType="solid">
        <fgColor rgb="FFEBF1DE"/>
        <bgColor rgb="FFEBF1DE"/>
      </patternFill>
    </fill>
    <fill>
      <patternFill patternType="solid">
        <fgColor rgb="FFFFCC99"/>
        <bgColor rgb="FFFFCC99"/>
      </patternFill>
    </fill>
    <fill>
      <patternFill patternType="solid">
        <fgColor rgb="FFE4DFEC"/>
        <bgColor rgb="FFE4DFEC"/>
      </patternFill>
    </fill>
    <fill>
      <patternFill patternType="solid">
        <fgColor rgb="FFCCFFFF"/>
        <bgColor rgb="FFCCFFFF"/>
      </patternFill>
    </fill>
    <fill>
      <patternFill patternType="solid">
        <fgColor rgb="FFDAEEF3"/>
        <bgColor rgb="FFDAEEF3"/>
      </patternFill>
    </fill>
    <fill>
      <patternFill patternType="solid">
        <fgColor rgb="FFFDE9D9"/>
        <bgColor rgb="FFFDE9D9"/>
      </patternFill>
    </fill>
    <fill>
      <patternFill patternType="solid">
        <fgColor rgb="FFB8CCE4"/>
        <bgColor rgb="FFB8CCE4"/>
      </patternFill>
    </fill>
    <fill>
      <patternFill patternType="solid">
        <fgColor rgb="FFE6B8B7"/>
        <bgColor rgb="FFE6B8B7"/>
      </patternFill>
    </fill>
    <fill>
      <patternFill patternType="solid">
        <fgColor rgb="FFFFFF99"/>
        <bgColor rgb="FFFFFF99"/>
      </patternFill>
    </fill>
    <fill>
      <patternFill patternType="solid">
        <fgColor rgb="FFD8E4BC"/>
        <bgColor rgb="FFD8E4BC"/>
      </patternFill>
    </fill>
    <fill>
      <patternFill patternType="solid">
        <fgColor rgb="FFFF99CC"/>
        <bgColor rgb="FFFF99CC"/>
      </patternFill>
    </fill>
    <fill>
      <patternFill patternType="solid">
        <fgColor rgb="FFCCC0DA"/>
        <bgColor rgb="FFCCC0DA"/>
      </patternFill>
    </fill>
    <fill>
      <patternFill patternType="solid">
        <fgColor rgb="FFB7DEE8"/>
        <bgColor rgb="FFB7DEE8"/>
      </patternFill>
    </fill>
    <fill>
      <patternFill patternType="solid">
        <fgColor rgb="FFFCD5B4"/>
        <bgColor rgb="FFFCD5B4"/>
      </patternFill>
    </fill>
    <fill>
      <patternFill patternType="solid">
        <fgColor rgb="FF95B3D7"/>
        <bgColor rgb="FF95B3D7"/>
      </patternFill>
    </fill>
    <fill>
      <patternFill patternType="solid">
        <fgColor rgb="FFFF6600"/>
        <bgColor rgb="FFFF6600"/>
      </patternFill>
    </fill>
    <fill>
      <patternFill patternType="solid">
        <fgColor rgb="FFDA9694"/>
        <bgColor rgb="FFDA9694"/>
      </patternFill>
    </fill>
    <fill>
      <patternFill patternType="solid">
        <fgColor rgb="FFFFCC00"/>
        <bgColor rgb="FFFFCC00"/>
      </patternFill>
    </fill>
    <fill>
      <patternFill patternType="solid">
        <fgColor rgb="FFC4D79B"/>
        <bgColor rgb="FFC4D79B"/>
      </patternFill>
    </fill>
    <fill>
      <patternFill patternType="solid">
        <fgColor rgb="FFB1A0C7"/>
        <bgColor rgb="FFB1A0C7"/>
      </patternFill>
    </fill>
    <fill>
      <patternFill patternType="solid">
        <fgColor rgb="FF92CDDC"/>
        <bgColor rgb="FF92CDDC"/>
      </patternFill>
    </fill>
    <fill>
      <patternFill patternType="solid">
        <fgColor rgb="FFFABF8F"/>
        <bgColor rgb="FFFABF8F"/>
      </patternFill>
    </fill>
    <fill>
      <patternFill patternType="solid">
        <fgColor rgb="FF003366"/>
        <bgColor rgb="FF003366"/>
      </patternFill>
    </fill>
    <fill>
      <patternFill patternType="solid">
        <fgColor rgb="FF4F81BD"/>
        <bgColor rgb="FF4F81BD"/>
      </patternFill>
    </fill>
    <fill>
      <patternFill patternType="solid">
        <fgColor rgb="FFC0504D"/>
        <bgColor rgb="FFC0504D"/>
      </patternFill>
    </fill>
    <fill>
      <patternFill patternType="solid">
        <fgColor rgb="FF9BBB59"/>
        <bgColor rgb="FF9BBB59"/>
      </patternFill>
    </fill>
    <fill>
      <patternFill patternType="solid">
        <fgColor rgb="FF666699"/>
        <bgColor rgb="FF666699"/>
      </patternFill>
    </fill>
    <fill>
      <patternFill patternType="solid">
        <fgColor rgb="FF8064A2"/>
        <bgColor rgb="FF8064A2"/>
      </patternFill>
    </fill>
    <fill>
      <patternFill patternType="solid">
        <fgColor rgb="FF33CCCC"/>
        <bgColor rgb="FF33CCCC"/>
      </patternFill>
    </fill>
    <fill>
      <patternFill patternType="solid">
        <fgColor rgb="FF4BACC6"/>
        <bgColor rgb="FF4BACC6"/>
      </patternFill>
    </fill>
    <fill>
      <patternFill patternType="solid">
        <fgColor rgb="FFFF0000"/>
        <bgColor rgb="FFFF0000"/>
      </patternFill>
    </fill>
    <fill>
      <patternFill patternType="solid">
        <fgColor rgb="FFF79646"/>
        <bgColor rgb="FFF79646"/>
      </patternFill>
    </fill>
    <fill>
      <patternFill patternType="solid">
        <fgColor rgb="FFCC99FF"/>
        <bgColor rgb="FFCC99FF"/>
      </patternFill>
    </fill>
    <fill>
      <patternFill patternType="solid">
        <fgColor rgb="FFFFC7CE"/>
        <bgColor rgb="FFFFC7CE"/>
      </patternFill>
    </fill>
    <fill>
      <patternFill patternType="solid">
        <fgColor rgb="FFFFFFFF"/>
        <bgColor rgb="FFFFFFFF"/>
      </patternFill>
    </fill>
    <fill>
      <patternFill patternType="solid">
        <fgColor rgb="FFF2F2F2"/>
        <bgColor rgb="FFF2F2F2"/>
      </patternFill>
    </fill>
    <fill>
      <patternFill patternType="solid">
        <fgColor rgb="FF969696"/>
        <bgColor rgb="FF969696"/>
      </patternFill>
    </fill>
    <fill>
      <patternFill patternType="solid">
        <fgColor rgb="FFA5A5A5"/>
        <bgColor rgb="FFA5A5A5"/>
      </patternFill>
    </fill>
    <fill>
      <patternFill patternType="solid">
        <fgColor rgb="FFC6EFCE"/>
        <bgColor rgb="FFC6EFCE"/>
      </patternFill>
    </fill>
    <fill>
      <patternFill patternType="solid">
        <fgColor rgb="FFFFEB9C"/>
        <bgColor rgb="FFFFEB9C"/>
      </patternFill>
    </fill>
  </fills>
  <borders count="24">
    <border>
      <start/>
      <end/>
      <top/>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style="thin">
        <color rgb="FF808080"/>
      </start>
      <end style="thin">
        <color rgb="FF808080"/>
      </end>
      <top style="thin">
        <color rgb="FF808080"/>
      </top>
      <bottom style="thin">
        <color rgb="FF808080"/>
      </bottom>
      <diagonal/>
    </border>
    <border>
      <start style="thin">
        <color rgb="FF000000"/>
      </start>
      <end style="thin">
        <color rgb="FF000000"/>
      </end>
      <top style="thin">
        <color rgb="FF000000"/>
      </top>
      <bottom style="thin">
        <color rgb="FF000000"/>
      </bottom>
      <diagonal/>
    </border>
    <border>
      <start style="double">
        <color rgb="FF333333"/>
      </start>
      <end style="double">
        <color rgb="FF333333"/>
      </end>
      <top style="double">
        <color rgb="FF333333"/>
      </top>
      <bottom style="double">
        <color rgb="FF333333"/>
      </bottom>
      <diagonal/>
    </border>
    <border>
      <start/>
      <end/>
      <top/>
      <bottom style="thick">
        <color rgb="FF003366"/>
      </bottom>
      <diagonal/>
    </border>
    <border>
      <start/>
      <end/>
      <top/>
      <bottom style="thick">
        <color rgb="FF4F81BD"/>
      </bottom>
      <diagonal/>
    </border>
    <border>
      <start/>
      <end/>
      <top/>
      <bottom style="thick">
        <color rgb="FFCCFFFF"/>
      </bottom>
      <diagonal/>
    </border>
    <border>
      <start/>
      <end/>
      <top/>
      <bottom style="thick">
        <color rgb="FFA7BFDE"/>
      </bottom>
      <diagonal/>
    </border>
    <border>
      <start/>
      <end/>
      <top/>
      <bottom style="medium">
        <color rgb="FFCCFFFF"/>
      </bottom>
      <diagonal/>
    </border>
    <border>
      <start/>
      <end/>
      <top/>
      <bottom style="medium">
        <color rgb="FF95B3D7"/>
      </bottom>
      <diagonal/>
    </border>
    <border>
      <start/>
      <end/>
      <top/>
      <bottom style="double">
        <color rgb="FFFF0000"/>
      </bottom>
      <diagonal/>
    </border>
    <border>
      <start style="thin">
        <color rgb="FFC0C0C0"/>
      </start>
      <end style="thin">
        <color rgb="FFC0C0C0"/>
      </end>
      <top style="thin">
        <color rgb="FFC0C0C0"/>
      </top>
      <bottom style="thin">
        <color rgb="FFC0C0C0"/>
      </bottom>
      <diagonal/>
    </border>
    <border>
      <start style="thin">
        <color rgb="FF333333"/>
      </start>
      <end style="thin">
        <color rgb="FF333333"/>
      </end>
      <top style="thin">
        <color rgb="FF333333"/>
      </top>
      <bottom style="thin">
        <color rgb="FF333333"/>
      </bottom>
      <diagonal/>
    </border>
    <border>
      <start/>
      <end/>
      <top style="thin">
        <color rgb="FF003366"/>
      </top>
      <bottom style="double">
        <color rgb="FF003366"/>
      </bottom>
      <diagonal/>
    </border>
    <border>
      <start/>
      <end/>
      <top style="thin">
        <color rgb="FF4F81BD"/>
      </top>
      <bottom style="double">
        <color rgb="FF4F81BD"/>
      </bottom>
      <diagonal/>
    </border>
    <border>
      <start style="medium">
        <color rgb="FF000000"/>
      </start>
      <end/>
      <top/>
      <bottom/>
      <diagonal/>
    </border>
    <border>
      <start style="thin">
        <color rgb="FF000000"/>
      </start>
      <end/>
      <top/>
      <bottom style="thin">
        <color rgb="FF000000"/>
      </bottom>
      <diagonal/>
    </border>
    <border>
      <start/>
      <end/>
      <top/>
      <bottom style="thin">
        <color rgb="FF000000"/>
      </bottom>
      <diagonal/>
    </border>
    <border>
      <start/>
      <end style="thin">
        <color rgb="FF000000"/>
      </end>
      <top/>
      <bottom style="thin">
        <color rgb="FF000000"/>
      </bottom>
      <diagonal/>
    </border>
  </borders>
  <cellStyleXfs count="290">
    <xf numFmtId="0" fontId="0" fillId="0" borderId="0"/>
    <xf numFmtId="165" fontId="1" fillId="0" borderId="0" applyFont="0" applyFill="0" applyBorder="0" applyAlignment="0" applyProtection="0"/>
    <xf numFmtId="9" fontId="1" fillId="0" borderId="0" applyFont="0" applyFill="0" applyBorder="0" applyAlignment="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2" fillId="2"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2" fillId="2"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2" fillId="2" borderId="0" applyNumberFormat="0" applyBorder="0" applyAlignment="0" applyProtection="0"/>
    <xf numFmtId="0" fontId="2"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2"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2" fillId="4" borderId="0" applyNumberFormat="0" applyBorder="0" applyAlignment="0" applyProtection="0"/>
    <xf numFmtId="0" fontId="2"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2"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2" fillId="6" borderId="0" applyNumberFormat="0" applyBorder="0" applyAlignment="0" applyProtection="0"/>
    <xf numFmtId="0" fontId="2" fillId="8"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2" fillId="8"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2" fillId="8" borderId="0" applyNumberFormat="0" applyBorder="0" applyAlignment="0" applyProtection="0"/>
    <xf numFmtId="0" fontId="2" fillId="10"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2" fillId="10"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2" fillId="10" borderId="0" applyNumberFormat="0" applyBorder="0" applyAlignment="0" applyProtection="0"/>
    <xf numFmtId="0" fontId="2" fillId="6"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2" fillId="6"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2" fillId="6" borderId="0" applyNumberFormat="0" applyBorder="0" applyAlignment="0" applyProtection="0"/>
    <xf numFmtId="0" fontId="2" fillId="10"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2" fillId="10"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2" fillId="10" borderId="0" applyNumberFormat="0" applyBorder="0" applyAlignment="0" applyProtection="0"/>
    <xf numFmtId="0" fontId="2" fillId="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2" fillId="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2" fillId="4" borderId="0" applyNumberFormat="0" applyBorder="0" applyAlignment="0" applyProtection="0"/>
    <xf numFmtId="0" fontId="2" fillId="15"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2" fillId="15"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2" fillId="17"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2" fillId="17" borderId="0" applyNumberFormat="0" applyBorder="0" applyAlignment="0" applyProtection="0"/>
    <xf numFmtId="0" fontId="2" fillId="10"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2" fillId="10"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2" fillId="10" borderId="0" applyNumberFormat="0" applyBorder="0" applyAlignment="0" applyProtection="0"/>
    <xf numFmtId="0" fontId="2" fillId="6"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2" fillId="6"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2" fillId="6" borderId="0" applyNumberFormat="0" applyBorder="0" applyAlignment="0" applyProtection="0"/>
    <xf numFmtId="0" fontId="4" fillId="10" borderId="0" applyNumberFormat="0" applyBorder="0" applyAlignment="0" applyProtection="0"/>
    <xf numFmtId="0" fontId="5" fillId="21"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22" borderId="0" applyNumberFormat="0" applyBorder="0" applyAlignment="0" applyProtection="0"/>
    <xf numFmtId="0" fontId="5" fillId="23"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4" borderId="0" applyNumberFormat="0" applyBorder="0" applyAlignment="0" applyProtection="0"/>
    <xf numFmtId="0" fontId="5" fillId="25"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17" borderId="0" applyNumberFormat="0" applyBorder="0" applyAlignment="0" applyProtection="0"/>
    <xf numFmtId="0" fontId="5" fillId="2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0" borderId="0" applyNumberFormat="0" applyBorder="0" applyAlignment="0" applyProtection="0"/>
    <xf numFmtId="0" fontId="5" fillId="27"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4" borderId="0" applyNumberFormat="0" applyBorder="0" applyAlignment="0" applyProtection="0"/>
    <xf numFmtId="0" fontId="5" fillId="28"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29" borderId="0" applyNumberFormat="0" applyBorder="0" applyAlignment="0" applyProtection="0"/>
    <xf numFmtId="0" fontId="5" fillId="30"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2" borderId="0" applyNumberFormat="0" applyBorder="0" applyAlignment="0" applyProtection="0"/>
    <xf numFmtId="0" fontId="5" fillId="3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4" borderId="0" applyNumberFormat="0" applyBorder="0" applyAlignment="0" applyProtection="0"/>
    <xf numFmtId="0" fontId="5" fillId="32"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33" borderId="0" applyNumberFormat="0" applyBorder="0" applyAlignment="0" applyProtection="0"/>
    <xf numFmtId="0" fontId="5" fillId="34"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5" borderId="0" applyNumberFormat="0" applyBorder="0" applyAlignment="0" applyProtection="0"/>
    <xf numFmtId="0" fontId="5" fillId="36"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7" borderId="0" applyNumberFormat="0" applyBorder="0" applyAlignment="0" applyProtection="0"/>
    <xf numFmtId="0" fontId="5" fillId="38"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6" fillId="39" borderId="0" applyNumberFormat="0" applyBorder="0" applyAlignment="0" applyProtection="0"/>
    <xf numFmtId="0" fontId="7" fillId="40"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8" fillId="41" borderId="6" applyNumberFormat="0" applyAlignment="0" applyProtection="0"/>
    <xf numFmtId="0" fontId="9" fillId="42" borderId="1" applyNumberFormat="0" applyAlignment="0" applyProtection="0"/>
    <xf numFmtId="0" fontId="8" fillId="41" borderId="6" applyNumberFormat="0" applyAlignment="0" applyProtection="0"/>
    <xf numFmtId="0" fontId="8" fillId="41" borderId="6" applyNumberFormat="0" applyAlignment="0" applyProtection="0"/>
    <xf numFmtId="3" fontId="1" fillId="41" borderId="7" applyFont="0" applyProtection="0">
      <alignment horizontal="right"/>
    </xf>
    <xf numFmtId="3" fontId="1" fillId="41" borderId="7" applyFont="0" applyProtection="0">
      <alignment horizontal="right"/>
    </xf>
    <xf numFmtId="3" fontId="10" fillId="41" borderId="7" applyProtection="0">
      <alignment horizontal="right"/>
    </xf>
    <xf numFmtId="3" fontId="1" fillId="41" borderId="7" applyFont="0" applyProtection="0">
      <alignment horizontal="right"/>
    </xf>
    <xf numFmtId="3" fontId="1" fillId="41" borderId="7" applyFont="0" applyProtection="0">
      <alignment horizontal="right"/>
    </xf>
    <xf numFmtId="0" fontId="11" fillId="40" borderId="0" applyNumberFormat="0" applyBorder="0" applyAlignment="0" applyProtection="0"/>
    <xf numFmtId="0" fontId="12" fillId="43" borderId="8" applyNumberFormat="0" applyAlignment="0" applyProtection="0"/>
    <xf numFmtId="0" fontId="13" fillId="44" borderId="4" applyNumberFormat="0" applyAlignment="0" applyProtection="0"/>
    <xf numFmtId="0" fontId="12" fillId="43" borderId="8" applyNumberFormat="0" applyAlignment="0" applyProtection="0"/>
    <xf numFmtId="0" fontId="12" fillId="43" borderId="8" applyNumberFormat="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6" fillId="10" borderId="0" applyNumberFormat="0" applyBorder="0" applyAlignment="0" applyProtection="0"/>
    <xf numFmtId="0" fontId="17" fillId="45"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8" fillId="0" borderId="9" applyNumberFormat="0" applyFill="0" applyAlignment="0" applyProtection="0"/>
    <xf numFmtId="0" fontId="19" fillId="0" borderId="10"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20" fillId="0" borderId="11" applyNumberFormat="0" applyFill="0" applyAlignment="0" applyProtection="0"/>
    <xf numFmtId="0" fontId="21" fillId="0" borderId="12" applyNumberFormat="0" applyFill="0" applyAlignment="0" applyProtection="0"/>
    <xf numFmtId="0" fontId="20" fillId="0" borderId="11" applyNumberFormat="0" applyFill="0" applyAlignment="0" applyProtection="0"/>
    <xf numFmtId="0" fontId="20" fillId="0" borderId="11" applyNumberFormat="0" applyFill="0" applyAlignment="0" applyProtection="0"/>
    <xf numFmtId="0" fontId="22" fillId="0" borderId="13" applyNumberFormat="0" applyFill="0" applyAlignment="0" applyProtection="0"/>
    <xf numFmtId="0" fontId="23" fillId="0" borderId="14" applyNumberFormat="0" applyFill="0" applyAlignment="0" applyProtection="0"/>
    <xf numFmtId="0" fontId="22" fillId="0" borderId="13" applyNumberFormat="0" applyFill="0" applyAlignment="0" applyProtection="0"/>
    <xf numFmtId="0" fontId="22" fillId="0" borderId="13" applyNumberFormat="0" applyFill="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6" fillId="0" borderId="0" applyNumberFormat="0" applyFill="0" applyBorder="0" applyAlignment="0" applyProtection="0"/>
    <xf numFmtId="0" fontId="27" fillId="15" borderId="6" applyNumberFormat="0" applyAlignment="0" applyProtection="0"/>
    <xf numFmtId="0" fontId="28" fillId="8" borderId="1" applyNumberFormat="0" applyAlignment="0" applyProtection="0"/>
    <xf numFmtId="0" fontId="27" fillId="15" borderId="6" applyNumberFormat="0" applyAlignment="0" applyProtection="0"/>
    <xf numFmtId="0" fontId="27" fillId="15" borderId="6" applyNumberFormat="0" applyAlignment="0" applyProtection="0"/>
    <xf numFmtId="0" fontId="29" fillId="0" borderId="15" applyNumberFormat="0" applyFill="0" applyAlignment="0" applyProtection="0"/>
    <xf numFmtId="0" fontId="30" fillId="0" borderId="3" applyNumberFormat="0" applyFill="0" applyAlignment="0" applyProtection="0"/>
    <xf numFmtId="0" fontId="29" fillId="0" borderId="15" applyNumberFormat="0" applyFill="0" applyAlignment="0" applyProtection="0"/>
    <xf numFmtId="0" fontId="29" fillId="0" borderId="15" applyNumberFormat="0" applyFill="0" applyAlignment="0" applyProtection="0"/>
    <xf numFmtId="0" fontId="31" fillId="15" borderId="0" applyNumberFormat="0" applyBorder="0" applyAlignment="0" applyProtection="0"/>
    <xf numFmtId="0" fontId="32" fillId="46"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3" fillId="0" borderId="0" applyNumberFormat="0" applyBorder="0" applyProtection="0"/>
    <xf numFmtId="0" fontId="1" fillId="0" borderId="0" applyNumberFormat="0" applyFont="0" applyBorder="0" applyProtection="0"/>
    <xf numFmtId="0" fontId="1" fillId="0" borderId="0" applyNumberFormat="0" applyFont="0" applyBorder="0" applyProtection="0"/>
    <xf numFmtId="0" fontId="3" fillId="0" borderId="0" applyNumberFormat="0" applyBorder="0" applyProtection="0"/>
    <xf numFmtId="0" fontId="1" fillId="0" borderId="0" applyNumberFormat="0" applyFont="0" applyBorder="0" applyProtection="0"/>
    <xf numFmtId="0" fontId="3" fillId="0" borderId="0" applyNumberFormat="0" applyBorder="0" applyProtection="0"/>
    <xf numFmtId="0" fontId="1" fillId="0" borderId="0" applyNumberFormat="0" applyFont="0" applyBorder="0" applyProtection="0"/>
    <xf numFmtId="0" fontId="1" fillId="0" borderId="0" applyNumberFormat="0" applyFont="0" applyBorder="0" applyProtection="0"/>
    <xf numFmtId="0" fontId="3" fillId="0" borderId="0" applyNumberFormat="0" applyBorder="0" applyProtection="0"/>
    <xf numFmtId="0" fontId="3" fillId="0" borderId="0" applyNumberFormat="0" applyBorder="0" applyProtection="0"/>
    <xf numFmtId="0" fontId="1" fillId="0" borderId="0" applyNumberFormat="0" applyFont="0" applyBorder="0" applyProtection="0"/>
    <xf numFmtId="0" fontId="3" fillId="0" borderId="0" applyNumberFormat="0" applyBorder="0" applyProtection="0"/>
    <xf numFmtId="0" fontId="1" fillId="0" borderId="0" applyNumberFormat="0" applyFont="0" applyBorder="0" applyProtection="0"/>
    <xf numFmtId="0" fontId="3" fillId="0" borderId="0" applyNumberFormat="0" applyBorder="0" applyProtection="0"/>
    <xf numFmtId="0" fontId="3" fillId="0" borderId="0" applyNumberFormat="0" applyBorder="0" applyProtection="0"/>
    <xf numFmtId="0" fontId="1" fillId="0" borderId="0" applyNumberFormat="0" applyFont="0" applyBorder="0" applyProtection="0"/>
    <xf numFmtId="0" fontId="3" fillId="0" borderId="0" applyNumberFormat="0" applyBorder="0" applyProtection="0"/>
    <xf numFmtId="0" fontId="3" fillId="0" borderId="0" applyNumberFormat="0" applyBorder="0" applyProtection="0"/>
    <xf numFmtId="0" fontId="1" fillId="0" borderId="0" applyNumberFormat="0" applyFont="0" applyBorder="0" applyProtection="0"/>
    <xf numFmtId="0" fontId="1" fillId="0" borderId="0" applyNumberFormat="0" applyFont="0" applyBorder="0" applyProtection="0"/>
    <xf numFmtId="0" fontId="3" fillId="0" borderId="0" applyNumberFormat="0" applyBorder="0" applyProtection="0"/>
    <xf numFmtId="0" fontId="3" fillId="0" borderId="0" applyNumberFormat="0" applyBorder="0" applyProtection="0"/>
    <xf numFmtId="0" fontId="1" fillId="0" borderId="0" applyNumberFormat="0" applyFont="0" applyBorder="0" applyProtection="0"/>
    <xf numFmtId="0" fontId="1" fillId="0" borderId="0" applyNumberFormat="0" applyFont="0" applyBorder="0" applyProtection="0"/>
    <xf numFmtId="0" fontId="1" fillId="6" borderId="16" applyNumberFormat="0" applyFont="0" applyAlignment="0" applyProtection="0"/>
    <xf numFmtId="0" fontId="1" fillId="6" borderId="5" applyNumberFormat="0" applyFont="0" applyAlignment="0" applyProtection="0"/>
    <xf numFmtId="0" fontId="1" fillId="6" borderId="5" applyNumberFormat="0" applyFont="0" applyAlignment="0" applyProtection="0"/>
    <xf numFmtId="0" fontId="1" fillId="6" borderId="5" applyNumberFormat="0" applyFont="0" applyAlignment="0" applyProtection="0"/>
    <xf numFmtId="0" fontId="1" fillId="6" borderId="5" applyNumberFormat="0" applyFont="0" applyAlignment="0" applyProtection="0"/>
    <xf numFmtId="0" fontId="1" fillId="6" borderId="5" applyNumberFormat="0" applyFont="0" applyAlignment="0" applyProtection="0"/>
    <xf numFmtId="0" fontId="1" fillId="6" borderId="16" applyNumberFormat="0" applyFont="0" applyAlignment="0" applyProtection="0"/>
    <xf numFmtId="0" fontId="1" fillId="6" borderId="16" applyNumberFormat="0" applyFont="0" applyAlignment="0" applyProtection="0"/>
    <xf numFmtId="0" fontId="1" fillId="6" borderId="16" applyNumberFormat="0" applyFont="0" applyAlignment="0" applyProtection="0"/>
    <xf numFmtId="0" fontId="33" fillId="41" borderId="17" applyNumberFormat="0" applyAlignment="0" applyProtection="0"/>
    <xf numFmtId="0" fontId="34" fillId="42" borderId="2" applyNumberFormat="0" applyAlignment="0" applyProtection="0"/>
    <xf numFmtId="0" fontId="33" fillId="41" borderId="17" applyNumberFormat="0" applyAlignment="0" applyProtection="0"/>
    <xf numFmtId="0" fontId="33" fillId="41" borderId="17" applyNumberForma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35" fillId="0" borderId="0" applyNumberFormat="0" applyFill="0" applyBorder="0" applyAlignment="0" applyProtection="0"/>
    <xf numFmtId="0" fontId="36"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7" fillId="0" borderId="18" applyNumberFormat="0" applyFill="0" applyAlignment="0" applyProtection="0"/>
    <xf numFmtId="0" fontId="38" fillId="0" borderId="19" applyNumberFormat="0" applyFill="0" applyAlignment="0" applyProtection="0"/>
    <xf numFmtId="0" fontId="37" fillId="0" borderId="18" applyNumberFormat="0" applyFill="0" applyAlignment="0" applyProtection="0"/>
    <xf numFmtId="0" fontId="37" fillId="0" borderId="18" applyNumberFormat="0" applyFill="0" applyAlignment="0" applyProtection="0"/>
    <xf numFmtId="0" fontId="29" fillId="0" borderId="0" applyNumberFormat="0" applyFill="0" applyBorder="0" applyAlignment="0" applyProtection="0"/>
    <xf numFmtId="0" fontId="3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cellStyleXfs>
  <cellXfs count="80">
    <xf numFmtId="0" fontId="0" fillId="0" borderId="0" xfId="0"/>
    <xf numFmtId="0" fontId="40" fillId="0" borderId="0" xfId="0" applyFont="1" applyAlignment="1">
      <alignment horizontal="left"/>
    </xf>
    <xf numFmtId="0" fontId="0" fillId="0" borderId="0" xfId="0" applyAlignment="1">
      <alignment horizontal="left"/>
    </xf>
    <xf numFmtId="0" fontId="41" fillId="0" borderId="0" xfId="0" applyFont="1" applyAlignment="1">
      <alignment horizontal="left"/>
    </xf>
    <xf numFmtId="49" fontId="3" fillId="0" borderId="0" xfId="0" applyNumberFormat="1" applyFont="1" applyAlignment="1">
      <alignment horizontal="left" wrapText="1"/>
    </xf>
    <xf numFmtId="0" fontId="25" fillId="0" borderId="0" xfId="209" applyFont="1" applyAlignment="1">
      <alignment vertical="center" wrapText="1"/>
    </xf>
    <xf numFmtId="0" fontId="3" fillId="0" borderId="0" xfId="0" applyFont="1" applyAlignment="1">
      <alignment horizontal="left" wrapText="1"/>
    </xf>
    <xf numFmtId="0" fontId="3" fillId="0" borderId="0" xfId="233" applyFont="1" applyFill="1" applyAlignment="1">
      <alignment horizontal="left" wrapText="1"/>
    </xf>
    <xf numFmtId="0" fontId="41" fillId="0" borderId="0" xfId="242" applyFont="1" applyFill="1" applyAlignment="1">
      <alignment horizontal="left"/>
    </xf>
    <xf numFmtId="0" fontId="3" fillId="0" borderId="0" xfId="242" applyFont="1" applyFill="1" applyAlignment="1">
      <alignment horizontal="left" wrapText="1"/>
    </xf>
    <xf numFmtId="0" fontId="25" fillId="0" borderId="0" xfId="210" applyFont="1" applyAlignment="1">
      <alignment horizontal="left" wrapText="1"/>
    </xf>
    <xf numFmtId="0" fontId="3" fillId="0" borderId="0" xfId="0" applyFont="1" applyAlignment="1">
      <alignment horizontal="left"/>
    </xf>
    <xf numFmtId="0" fontId="25" fillId="0" borderId="0" xfId="209" applyFont="1" applyAlignment="1">
      <alignment horizontal="left"/>
    </xf>
    <xf numFmtId="0" fontId="38" fillId="0" borderId="0" xfId="0" applyFont="1" applyAlignment="1">
      <alignment horizontal="left"/>
    </xf>
    <xf numFmtId="0" fontId="10" fillId="0" borderId="0" xfId="0" applyFont="1" applyAlignment="1">
      <alignment horizontal="left"/>
    </xf>
    <xf numFmtId="0" fontId="42" fillId="0" borderId="0" xfId="0" applyFont="1" applyAlignment="1">
      <alignment horizontal="left"/>
    </xf>
    <xf numFmtId="0" fontId="41" fillId="0" borderId="0" xfId="0" applyFont="1" applyAlignment="1">
      <alignment horizontal="left" wrapText="1"/>
    </xf>
    <xf numFmtId="164" fontId="40" fillId="0" borderId="0" xfId="1" applyNumberFormat="1" applyFont="1" applyFill="1" applyAlignment="1">
      <alignment horizontal="left"/>
    </xf>
    <xf numFmtId="0" fontId="40" fillId="0" borderId="0" xfId="0" applyFont="1"/>
    <xf numFmtId="0" fontId="38" fillId="0" borderId="0" xfId="0" applyFont="1"/>
    <xf numFmtId="0" fontId="3" fillId="0" borderId="20" xfId="0" applyFont="1" applyBorder="1"/>
    <xf numFmtId="0" fontId="43" fillId="0" borderId="0" xfId="0" applyFont="1" applyAlignment="1">
      <alignment horizontal="left" vertical="center"/>
    </xf>
    <xf numFmtId="0" fontId="42" fillId="0" borderId="0" xfId="0" applyFont="1" applyAlignment="1">
      <alignment horizontal="left" vertical="center"/>
    </xf>
    <xf numFmtId="0" fontId="42" fillId="0" borderId="0" xfId="209" applyFont="1" applyFill="1" applyAlignment="1">
      <alignment horizontal="left" vertical="center"/>
    </xf>
    <xf numFmtId="0" fontId="44" fillId="0" borderId="0" xfId="0" applyFont="1" applyAlignment="1">
      <alignment horizontal="left" vertical="center"/>
    </xf>
    <xf numFmtId="0" fontId="0" fillId="0" borderId="0" xfId="0" applyAlignment="1">
      <alignment horizontal="center" vertical="center"/>
    </xf>
    <xf numFmtId="0" fontId="38" fillId="0" borderId="0" xfId="0" applyFont="1" applyAlignment="1">
      <alignment wrapText="1"/>
    </xf>
    <xf numFmtId="0" fontId="38" fillId="0" borderId="0" xfId="0" applyFont="1" applyAlignment="1">
      <alignment horizontal="center" wrapText="1"/>
    </xf>
    <xf numFmtId="3" fontId="45" fillId="0" borderId="0" xfId="0" applyNumberFormat="1" applyFont="1" applyAlignment="1">
      <alignment horizontal="left" vertical="center" wrapText="1"/>
    </xf>
    <xf numFmtId="3" fontId="3" fillId="0" borderId="0" xfId="0" applyNumberFormat="1" applyFont="1" applyAlignment="1">
      <alignment horizontal="left" vertical="center" wrapText="1"/>
    </xf>
    <xf numFmtId="0" fontId="40" fillId="0" borderId="0" xfId="0" applyFont="1" applyAlignment="1">
      <alignment vertical="center" wrapText="1"/>
    </xf>
    <xf numFmtId="0" fontId="3" fillId="0" borderId="0" xfId="0" applyFont="1" applyAlignment="1">
      <alignment horizontal="center"/>
    </xf>
    <xf numFmtId="0" fontId="46" fillId="0" borderId="0" xfId="0" applyFont="1" applyAlignment="1">
      <alignment horizontal="left"/>
    </xf>
    <xf numFmtId="0" fontId="40" fillId="0" borderId="0" xfId="0" applyFont="1" applyAlignment="1">
      <alignment horizontal="center" wrapText="1"/>
    </xf>
    <xf numFmtId="0" fontId="40" fillId="0" borderId="0" xfId="0" applyFont="1" applyAlignment="1">
      <alignment horizontal="left" wrapText="1"/>
    </xf>
    <xf numFmtId="0" fontId="38" fillId="0" borderId="0" xfId="0" applyFont="1" applyAlignment="1">
      <alignment horizontal="left" wrapText="1"/>
    </xf>
    <xf numFmtId="0" fontId="0" fillId="0" borderId="0" xfId="0" applyAlignment="1">
      <alignment horizontal="center"/>
    </xf>
    <xf numFmtId="0" fontId="38" fillId="0" borderId="7" xfId="0" applyFont="1" applyBorder="1"/>
    <xf numFmtId="0" fontId="3" fillId="0" borderId="0" xfId="0" applyFont="1" applyAlignment="1">
      <alignment vertical="center"/>
    </xf>
    <xf numFmtId="0" fontId="47" fillId="0" borderId="0" xfId="0" applyFont="1" applyAlignment="1">
      <alignment vertical="center"/>
    </xf>
    <xf numFmtId="0" fontId="40" fillId="0" borderId="0" xfId="0" applyFont="1" applyAlignment="1">
      <alignment horizontal="right"/>
    </xf>
    <xf numFmtId="3" fontId="40" fillId="0" borderId="0" xfId="0" applyNumberFormat="1" applyFont="1" applyAlignment="1">
      <alignment vertical="center" wrapText="1"/>
    </xf>
    <xf numFmtId="0" fontId="3" fillId="0" borderId="0" xfId="0" applyFont="1" applyAlignment="1">
      <alignment wrapText="1"/>
    </xf>
    <xf numFmtId="0" fontId="45" fillId="0" borderId="0" xfId="0" applyFont="1" applyAlignment="1">
      <alignment horizontal="center"/>
    </xf>
    <xf numFmtId="3" fontId="38" fillId="0" borderId="0" xfId="0" applyNumberFormat="1" applyFont="1" applyAlignment="1">
      <alignment horizontal="center" vertical="center" wrapText="1"/>
    </xf>
    <xf numFmtId="0" fontId="3" fillId="0" borderId="0" xfId="0" applyFont="1"/>
    <xf numFmtId="0" fontId="38" fillId="0" borderId="21" xfId="0" applyFont="1" applyBorder="1" applyAlignment="1">
      <alignment vertical="center"/>
    </xf>
    <xf numFmtId="0" fontId="38" fillId="0" borderId="22" xfId="0" applyFont="1" applyBorder="1" applyAlignment="1">
      <alignment vertical="center"/>
    </xf>
    <xf numFmtId="0" fontId="38" fillId="0" borderId="22" xfId="0" applyFont="1" applyBorder="1" applyAlignment="1">
      <alignment horizontal="right" vertical="center" wrapText="1"/>
    </xf>
    <xf numFmtId="0" fontId="38" fillId="0" borderId="22" xfId="0" applyFont="1" applyBorder="1" applyAlignment="1" applyProtection="1">
      <alignment horizontal="right" vertical="center" wrapText="1"/>
      <protection locked="0"/>
    </xf>
    <xf numFmtId="0" fontId="38" fillId="0" borderId="23" xfId="0" applyFont="1" applyBorder="1" applyAlignment="1" applyProtection="1">
      <alignment horizontal="right" vertical="center" wrapText="1"/>
      <protection locked="0"/>
    </xf>
    <xf numFmtId="0" fontId="3" fillId="0" borderId="0" xfId="0" applyFont="1" applyAlignment="1">
      <alignment horizontal="left" vertical="top" wrapText="1"/>
    </xf>
    <xf numFmtId="0" fontId="3" fillId="0" borderId="0" xfId="0" applyFont="1" applyAlignment="1">
      <alignment vertical="center" wrapText="1"/>
    </xf>
    <xf numFmtId="3" fontId="3" fillId="0" borderId="0" xfId="0" applyNumberFormat="1" applyFont="1" applyAlignment="1">
      <alignment vertical="center"/>
    </xf>
    <xf numFmtId="3" fontId="3" fillId="0" borderId="0" xfId="0" applyNumberFormat="1" applyFont="1" applyAlignment="1">
      <alignment horizontal="right" vertical="center"/>
    </xf>
    <xf numFmtId="3" fontId="3" fillId="0" borderId="0" xfId="1" applyNumberFormat="1" applyFont="1" applyFill="1" applyAlignment="1">
      <alignment horizontal="right" vertical="center"/>
    </xf>
    <xf numFmtId="3" fontId="3" fillId="0" borderId="0" xfId="1" applyNumberFormat="1" applyFont="1" applyFill="1" applyAlignment="1">
      <alignment vertical="center"/>
    </xf>
    <xf numFmtId="0" fontId="38" fillId="0" borderId="22" xfId="0" applyFont="1" applyBorder="1" applyAlignment="1">
      <alignment horizontal="left" vertical="top" wrapText="1"/>
    </xf>
    <xf numFmtId="0" fontId="38" fillId="0" borderId="22" xfId="0" applyFont="1" applyBorder="1" applyAlignment="1">
      <alignment vertical="center" wrapText="1"/>
    </xf>
    <xf numFmtId="10" fontId="38" fillId="0" borderId="22" xfId="2" applyNumberFormat="1" applyFont="1" applyFill="1" applyBorder="1" applyAlignment="1">
      <alignment horizontal="right" vertical="center"/>
    </xf>
    <xf numFmtId="10" fontId="38" fillId="0" borderId="22" xfId="2" applyNumberFormat="1" applyFont="1" applyFill="1" applyBorder="1" applyAlignment="1">
      <alignment vertical="center"/>
    </xf>
    <xf numFmtId="0" fontId="38" fillId="0" borderId="22" xfId="0" applyFont="1" applyBorder="1" applyAlignment="1">
      <alignment horizontal="center" vertical="center" wrapText="1"/>
    </xf>
    <xf numFmtId="0" fontId="38" fillId="0" borderId="22" xfId="0" applyFont="1" applyBorder="1" applyAlignment="1" applyProtection="1">
      <alignment horizontal="center" vertical="center" wrapText="1"/>
      <protection locked="0"/>
    </xf>
    <xf numFmtId="0" fontId="38" fillId="0" borderId="23" xfId="0" applyFont="1" applyBorder="1" applyAlignment="1" applyProtection="1">
      <alignment horizontal="center" vertical="center" wrapText="1"/>
      <protection locked="0"/>
    </xf>
    <xf numFmtId="0" fontId="10" fillId="0" borderId="0" xfId="0" applyFont="1"/>
    <xf numFmtId="0" fontId="0" fillId="0" borderId="0" xfId="0"/>
    <xf numFmtId="0" fontId="0" fillId="0" borderId="0" xfId="0" applyAlignment="1">
      <alignment horizontal="right"/>
    </xf>
    <xf numFmtId="0" fontId="3" fillId="0" borderId="0" xfId="0" applyFont="1" applyAlignment="1">
      <alignment horizontal="right"/>
    </xf>
    <xf numFmtId="0" fontId="41" fillId="0" borderId="0" xfId="0" applyFont="1" applyAlignment="1">
      <alignment horizontal="right" wrapText="1"/>
    </xf>
    <xf numFmtId="0" fontId="41" fillId="0" borderId="0" xfId="0" applyFont="1" applyAlignment="1">
      <alignment horizontal="center" wrapText="1"/>
    </xf>
    <xf numFmtId="3" fontId="38" fillId="0" borderId="0" xfId="0" applyNumberFormat="1" applyFont="1" applyAlignment="1">
      <alignment horizontal="right"/>
    </xf>
    <xf numFmtId="4" fontId="38" fillId="0" borderId="0" xfId="0" applyNumberFormat="1" applyFont="1" applyAlignment="1">
      <alignment horizontal="right"/>
    </xf>
    <xf numFmtId="0" fontId="38" fillId="0" borderId="0" xfId="0" applyFont="1" applyAlignment="1">
      <alignment horizontal="center"/>
    </xf>
    <xf numFmtId="3" fontId="3" fillId="0" borderId="0" xfId="0" applyNumberFormat="1" applyFont="1"/>
    <xf numFmtId="4" fontId="3" fillId="0" borderId="0" xfId="0" applyNumberFormat="1" applyFont="1"/>
    <xf numFmtId="3" fontId="3" fillId="0" borderId="0" xfId="0" applyNumberFormat="1" applyFont="1" applyAlignment="1">
      <alignment horizontal="right"/>
    </xf>
    <xf numFmtId="4" fontId="3" fillId="0" borderId="0" xfId="0" applyNumberFormat="1" applyFont="1" applyAlignment="1">
      <alignment horizontal="right"/>
    </xf>
    <xf numFmtId="3" fontId="38" fillId="0" borderId="0" xfId="0" applyNumberFormat="1" applyFont="1" applyAlignment="1">
      <alignment horizontal="center"/>
    </xf>
    <xf numFmtId="3" fontId="3" fillId="0" borderId="0" xfId="0" applyNumberFormat="1" applyFont="1" applyAlignment="1">
      <alignment horizontal="center"/>
    </xf>
    <xf numFmtId="3" fontId="10" fillId="0" borderId="0" xfId="232" applyNumberFormat="1" applyFont="1" applyFill="1" applyAlignment="1"/>
  </cellXfs>
  <cellStyles count="290">
    <cellStyle name="%" xfId="3" xr:uid="{065AB1A8-BA22-554D-9A6F-157C30207592}"/>
    <cellStyle name="% 2" xfId="4" xr:uid="{1338941B-34B9-DE42-8018-0FD98557931A}"/>
    <cellStyle name="% 3" xfId="5" xr:uid="{2A82D8E1-AA4B-1443-B8D4-84102EF5EDC0}"/>
    <cellStyle name="20% - Accent1 2" xfId="6" xr:uid="{EE648C3F-8361-F343-8433-B65DBC96F041}"/>
    <cellStyle name="20% - Accent1 2 2" xfId="7" xr:uid="{63D5D242-AED7-1A4A-93B3-75AF5F216532}"/>
    <cellStyle name="20% - Accent1 2 3" xfId="8" xr:uid="{71DA5E3F-946B-3140-96E5-2AD80652B600}"/>
    <cellStyle name="20% - Accent1 3" xfId="9" xr:uid="{3223145C-3E30-1D46-9865-7FC9D3E82674}"/>
    <cellStyle name="20% - Accent1 3 2" xfId="10" xr:uid="{CA6C4005-EDF8-F449-9167-71EB082AEB7F}"/>
    <cellStyle name="20% - Accent1 4" xfId="11" xr:uid="{10A565FE-2907-304E-BD9E-F71088C72115}"/>
    <cellStyle name="20% - Accent1 5" xfId="12" xr:uid="{0ACEBD18-BC70-0248-9BCA-867D2D6DBA5C}"/>
    <cellStyle name="20% - Accent2 2" xfId="13" xr:uid="{378CE5A9-1C5F-7F4E-B176-F0B7EF388E13}"/>
    <cellStyle name="20% - Accent2 2 2" xfId="14" xr:uid="{BFD1ACCD-AC01-A740-AD0C-11FB55FB3B79}"/>
    <cellStyle name="20% - Accent2 2 3" xfId="15" xr:uid="{6860189E-0450-F84E-81DC-68250E666C28}"/>
    <cellStyle name="20% - Accent2 3" xfId="16" xr:uid="{30FC6473-6A46-BB4F-B71E-FDC9D4CAB9C8}"/>
    <cellStyle name="20% - Accent2 3 2" xfId="17" xr:uid="{1343F753-D017-084E-A0A2-EE1CD1B05013}"/>
    <cellStyle name="20% - Accent2 4" xfId="18" xr:uid="{569458AE-2CDD-7941-B96D-338E81233922}"/>
    <cellStyle name="20% - Accent2 5" xfId="19" xr:uid="{3BDD2988-99FC-1C46-B621-E7F3E6E057EB}"/>
    <cellStyle name="20% - Accent3 2" xfId="20" xr:uid="{40F5219B-F0CF-8040-B225-27A371851EC0}"/>
    <cellStyle name="20% - Accent3 2 2" xfId="21" xr:uid="{11289E9C-F2C8-9A49-BFF9-3A191EE324DC}"/>
    <cellStyle name="20% - Accent3 2 3" xfId="22" xr:uid="{44DBA75D-C8BE-7241-8211-BC66864735A1}"/>
    <cellStyle name="20% - Accent3 3" xfId="23" xr:uid="{1AF259E3-B711-ED48-8970-0BEA8F710095}"/>
    <cellStyle name="20% - Accent3 3 2" xfId="24" xr:uid="{58206409-6D7B-CB4B-A80C-D79C0701A275}"/>
    <cellStyle name="20% - Accent3 4" xfId="25" xr:uid="{E1100052-AA60-154B-925E-59A0F3B87B5D}"/>
    <cellStyle name="20% - Accent3 5" xfId="26" xr:uid="{C0087270-B6E9-E44B-B29C-286212D763CF}"/>
    <cellStyle name="20% - Accent4 2" xfId="27" xr:uid="{636724E4-9F89-9D40-9CC5-9385F19A2FC4}"/>
    <cellStyle name="20% - Accent4 2 2" xfId="28" xr:uid="{E4F76AD1-E195-6348-87C9-628258510CC0}"/>
    <cellStyle name="20% - Accent4 2 3" xfId="29" xr:uid="{CCFBE06B-E962-1A44-9FAB-B6494F00341E}"/>
    <cellStyle name="20% - Accent4 3" xfId="30" xr:uid="{2413CF75-1464-0E4F-988A-2396F46C802E}"/>
    <cellStyle name="20% - Accent4 3 2" xfId="31" xr:uid="{DEF35D31-7567-E348-8BAF-A798DC75E2D6}"/>
    <cellStyle name="20% - Accent4 4" xfId="32" xr:uid="{5C74E5E7-2ACA-814B-9BA3-7C7B0075BC5C}"/>
    <cellStyle name="20% - Accent4 5" xfId="33" xr:uid="{A096315A-9BD6-A24E-B794-7F5D834B3FF2}"/>
    <cellStyle name="20% - Accent5 2" xfId="34" xr:uid="{875B3EB3-DFB5-FA4F-9ED7-27BF26E4202E}"/>
    <cellStyle name="20% - Accent5 2 2" xfId="35" xr:uid="{19CA4331-F6BF-7645-BB79-549DC946A830}"/>
    <cellStyle name="20% - Accent5 2 3" xfId="36" xr:uid="{F7D15914-3899-754B-BCA8-9958906D8266}"/>
    <cellStyle name="20% - Accent5 3" xfId="37" xr:uid="{DB3DA97A-9AFE-EC46-B40B-33FFE92BACD0}"/>
    <cellStyle name="20% - Accent5 3 2" xfId="38" xr:uid="{F1145AEF-8EB8-8F4D-A04F-DB952EB4B079}"/>
    <cellStyle name="20% - Accent5 4" xfId="39" xr:uid="{6713BE14-E35B-EE49-9A27-A56E9BD16986}"/>
    <cellStyle name="20% - Accent5 5" xfId="40" xr:uid="{B229DA33-55CF-3446-8215-53C7B04900E5}"/>
    <cellStyle name="20% - Accent6 2" xfId="41" xr:uid="{F6ACF48A-51A7-A541-AC4D-4E709AF31E66}"/>
    <cellStyle name="20% - Accent6 2 2" xfId="42" xr:uid="{D51D7482-C66F-3946-9B06-4E8E946F2C2C}"/>
    <cellStyle name="20% - Accent6 2 3" xfId="43" xr:uid="{4CB619A4-FEED-BB41-B839-7391DF8F059F}"/>
    <cellStyle name="20% - Accent6 3" xfId="44" xr:uid="{7369E219-4D03-DD42-80A2-EB6B71E5CB04}"/>
    <cellStyle name="20% - Accent6 3 2" xfId="45" xr:uid="{6C1AA1A7-85B1-E04B-8A9E-F1D3DBEDE4B6}"/>
    <cellStyle name="20% - Accent6 4" xfId="46" xr:uid="{876E70FB-BF55-E34E-99EF-E53BE41D49E5}"/>
    <cellStyle name="20% - Accent6 5" xfId="47" xr:uid="{EF03D92A-0DDD-B942-961C-00A57E0C4FC8}"/>
    <cellStyle name="40% - Accent1 2" xfId="48" xr:uid="{8D102015-4CF1-D449-892A-B6ABB85CD271}"/>
    <cellStyle name="40% - Accent1 2 2" xfId="49" xr:uid="{DB5497FA-82E0-1D4C-B90B-A5FF90A2696C}"/>
    <cellStyle name="40% - Accent1 2 3" xfId="50" xr:uid="{00880FEB-CF22-B847-BBCD-ACD8420D6E81}"/>
    <cellStyle name="40% - Accent1 3" xfId="51" xr:uid="{B88FE1EF-A8C4-B443-87EF-CE0212120243}"/>
    <cellStyle name="40% - Accent1 3 2" xfId="52" xr:uid="{0754CB20-B4ED-5C4F-9A99-DD2FF1D22342}"/>
    <cellStyle name="40% - Accent1 4" xfId="53" xr:uid="{1B85DA7B-1620-8847-95E9-93EC3B4F0B86}"/>
    <cellStyle name="40% - Accent1 5" xfId="54" xr:uid="{79D00C41-5DD3-834A-BE5B-4D054D67C913}"/>
    <cellStyle name="40% - Accent2 2" xfId="55" xr:uid="{F05743F7-22F4-604F-BB7C-1FF77C309ACB}"/>
    <cellStyle name="40% - Accent2 2 2" xfId="56" xr:uid="{4BAE79F8-07A6-B14C-BA6A-B841752FE0DB}"/>
    <cellStyle name="40% - Accent2 2 3" xfId="57" xr:uid="{A9273EA6-8E5B-FE43-B518-1F436DB17F9E}"/>
    <cellStyle name="40% - Accent2 3" xfId="58" xr:uid="{5BE2E017-992D-D84E-9534-B77870F39A3E}"/>
    <cellStyle name="40% - Accent2 3 2" xfId="59" xr:uid="{8759AB93-7968-1347-BC89-5F0109F6A5B3}"/>
    <cellStyle name="40% - Accent2 4" xfId="60" xr:uid="{62A3A32E-8565-B244-B2DF-168E46019B72}"/>
    <cellStyle name="40% - Accent2 5" xfId="61" xr:uid="{1E9F525D-FB56-9C4E-AE4B-094BF2341906}"/>
    <cellStyle name="40% - Accent3 2" xfId="62" xr:uid="{DDDDE53A-BE67-2748-8397-DB54C9320130}"/>
    <cellStyle name="40% - Accent3 2 2" xfId="63" xr:uid="{5C13D66A-FE7F-6A48-B9FC-B9B977A408F4}"/>
    <cellStyle name="40% - Accent3 2 3" xfId="64" xr:uid="{27D600F5-7EEB-0943-A355-FEFE55FBCC68}"/>
    <cellStyle name="40% - Accent3 3" xfId="65" xr:uid="{9CD69133-A78A-D548-B175-A320069B93D5}"/>
    <cellStyle name="40% - Accent3 3 2" xfId="66" xr:uid="{489C5946-74AD-1B4A-8E60-38303869DD96}"/>
    <cellStyle name="40% - Accent3 4" xfId="67" xr:uid="{903643E9-B16A-354F-8F36-1871DC3D0388}"/>
    <cellStyle name="40% - Accent3 5" xfId="68" xr:uid="{625947EB-8A54-564A-9487-BB42B91B9D6C}"/>
    <cellStyle name="40% - Accent4 2" xfId="69" xr:uid="{B5D788B1-18F3-3045-9B52-56F7B7305671}"/>
    <cellStyle name="40% - Accent4 2 2" xfId="70" xr:uid="{D7DA571B-2999-E14F-816A-299D6BD46F38}"/>
    <cellStyle name="40% - Accent4 2 3" xfId="71" xr:uid="{53173CF1-F6BF-2D48-B6E6-6B95E28738EB}"/>
    <cellStyle name="40% - Accent4 3" xfId="72" xr:uid="{D18704DD-50B1-D14B-8495-78E6BFD76215}"/>
    <cellStyle name="40% - Accent4 3 2" xfId="73" xr:uid="{70181AC9-2691-9F46-8004-719A264C13BA}"/>
    <cellStyle name="40% - Accent4 4" xfId="74" xr:uid="{085BC508-7CA0-4149-863C-B6F361671DC6}"/>
    <cellStyle name="40% - Accent4 5" xfId="75" xr:uid="{1EEF2589-299D-DD43-8528-DA50CF717997}"/>
    <cellStyle name="40% - Accent5 2" xfId="76" xr:uid="{AB5BB0AF-9F96-B84D-8DA7-5414E4F88A4A}"/>
    <cellStyle name="40% - Accent5 2 2" xfId="77" xr:uid="{27108E24-C395-494A-9D53-44377D624AAE}"/>
    <cellStyle name="40% - Accent5 2 3" xfId="78" xr:uid="{6F6F3CD3-D700-8244-8DF7-BC4199FB39FF}"/>
    <cellStyle name="40% - Accent5 3" xfId="79" xr:uid="{4C862382-BEC8-BC4B-8BED-F20EBDDC696E}"/>
    <cellStyle name="40% - Accent5 3 2" xfId="80" xr:uid="{7DC6F434-5080-7344-BA32-C1C3A5518C8F}"/>
    <cellStyle name="40% - Accent5 4" xfId="81" xr:uid="{E149BC88-B499-7345-BD3E-A7BB28247C6B}"/>
    <cellStyle name="40% - Accent5 5" xfId="82" xr:uid="{74A29E5F-14A3-5F43-AAB5-E07EE784A0D8}"/>
    <cellStyle name="40% - Accent6 2" xfId="83" xr:uid="{CBE8C663-7536-D444-A16C-1F3D149DE9BD}"/>
    <cellStyle name="40% - Accent6 2 2" xfId="84" xr:uid="{E51EDAF7-3AE0-4745-AFDC-5FD1BAF7FE39}"/>
    <cellStyle name="40% - Accent6 2 3" xfId="85" xr:uid="{152C95FA-CA46-B447-BA7D-1CBC4F50BBE8}"/>
    <cellStyle name="40% - Accent6 3" xfId="86" xr:uid="{C21DCA8C-262D-8644-9F26-F585087B82A3}"/>
    <cellStyle name="40% - Accent6 3 2" xfId="87" xr:uid="{72AEC509-0595-9B4E-AECE-34F32AB44CF4}"/>
    <cellStyle name="40% - Accent6 4" xfId="88" xr:uid="{CF2675B8-4821-AB46-8960-829A4E94892A}"/>
    <cellStyle name="40% - Accent6 5" xfId="89" xr:uid="{811869F8-9316-324E-8FAE-DA27726B1B58}"/>
    <cellStyle name="60% - Accent1 2" xfId="90" xr:uid="{5A734425-6450-C84C-B6EA-C70BEA060CA6}"/>
    <cellStyle name="60% - Accent1 2 2" xfId="91" xr:uid="{8922CFC5-C8C9-0546-8E34-2CEA0461156F}"/>
    <cellStyle name="60% - Accent1 3" xfId="92" xr:uid="{BA9946B3-9B71-A542-A278-66A606E801E3}"/>
    <cellStyle name="60% - Accent1 4" xfId="93" xr:uid="{AC14B056-ABDF-6F4E-A183-D67A322D431A}"/>
    <cellStyle name="60% - Accent2 2" xfId="94" xr:uid="{AF647ED0-D1A1-1149-8152-E7F56F5AB200}"/>
    <cellStyle name="60% - Accent2 2 2" xfId="95" xr:uid="{D5F14C20-3D36-184B-80AB-02DC0A8897B4}"/>
    <cellStyle name="60% - Accent2 3" xfId="96" xr:uid="{84172DCB-9279-564B-9661-36D4790A7211}"/>
    <cellStyle name="60% - Accent2 4" xfId="97" xr:uid="{C0EC19F3-6AAA-9542-80F2-B94E20F48A33}"/>
    <cellStyle name="60% - Accent3 2" xfId="98" xr:uid="{D4B9EA62-3A5A-7F4A-B865-61E256C9ADFB}"/>
    <cellStyle name="60% - Accent3 2 2" xfId="99" xr:uid="{EC4673A9-B397-2842-8737-2C29B72B3E1F}"/>
    <cellStyle name="60% - Accent3 3" xfId="100" xr:uid="{039604FE-66FB-5F44-AE9F-D98FA658B48C}"/>
    <cellStyle name="60% - Accent3 4" xfId="101" xr:uid="{7041808B-A76D-6D41-9F73-4DCA26F64334}"/>
    <cellStyle name="60% - Accent4 2" xfId="102" xr:uid="{BE796421-5F1E-C14F-B748-A3196455307C}"/>
    <cellStyle name="60% - Accent4 2 2" xfId="103" xr:uid="{C133131D-E3C1-F84A-ADA2-AB195D44C1FA}"/>
    <cellStyle name="60% - Accent4 3" xfId="104" xr:uid="{4E8652E7-AC18-B640-B9CE-83E5F8FF3F60}"/>
    <cellStyle name="60% - Accent4 4" xfId="105" xr:uid="{3AF9DD17-4A7B-8C43-A18A-A99B79821747}"/>
    <cellStyle name="60% - Accent5 2" xfId="106" xr:uid="{2293E2AB-F406-754C-AE3E-9941C89F7333}"/>
    <cellStyle name="60% - Accent5 2 2" xfId="107" xr:uid="{2FFD85E5-EAB3-8646-AE95-4A6B782365C8}"/>
    <cellStyle name="60% - Accent5 3" xfId="108" xr:uid="{2116A804-3D84-F648-941B-70219E832FBF}"/>
    <cellStyle name="60% - Accent5 4" xfId="109" xr:uid="{91AC6B18-C5B1-D04D-82E8-B9868EC3D2D4}"/>
    <cellStyle name="60% - Accent6 2" xfId="110" xr:uid="{450A6FAC-AABD-754B-A3BC-2A6F5E0DAFB1}"/>
    <cellStyle name="60% - Accent6 2 2" xfId="111" xr:uid="{FB3F9136-DF72-F448-9497-797D8E8E371B}"/>
    <cellStyle name="60% - Accent6 3" xfId="112" xr:uid="{92C79E90-748E-784A-BD01-86E6A65D1D99}"/>
    <cellStyle name="60% - Accent6 4" xfId="113" xr:uid="{947374F5-6B8F-554F-8B6C-61DA389288E1}"/>
    <cellStyle name="Accent1 2" xfId="114" xr:uid="{EBA8C224-9BCE-6E4A-8618-B7480CEF56EC}"/>
    <cellStyle name="Accent1 2 2" xfId="115" xr:uid="{A5361280-CFCF-DF41-BBFF-CD8FE716D248}"/>
    <cellStyle name="Accent1 3" xfId="116" xr:uid="{A5E941E7-32A0-C84B-8D7B-28F3CD44BF71}"/>
    <cellStyle name="Accent1 4" xfId="117" xr:uid="{16DD8370-66FF-2244-A07F-4C8F5AC976F1}"/>
    <cellStyle name="Accent2 2" xfId="118" xr:uid="{3E8B9A27-7144-384A-9402-A94A668244D3}"/>
    <cellStyle name="Accent2 2 2" xfId="119" xr:uid="{BB34A108-8C61-804A-8F7F-C707988F46F8}"/>
    <cellStyle name="Accent2 3" xfId="120" xr:uid="{D0E07250-E170-4C4D-95B5-7399B823E245}"/>
    <cellStyle name="Accent2 4" xfId="121" xr:uid="{758DC1BF-033A-E84A-AD4D-2F6278A764B2}"/>
    <cellStyle name="Accent3 2" xfId="122" xr:uid="{9328120E-CE5E-454D-B936-907E092925D9}"/>
    <cellStyle name="Accent3 2 2" xfId="123" xr:uid="{B06BD2B0-5DC3-4245-8548-F8336F1D10BC}"/>
    <cellStyle name="Accent3 3" xfId="124" xr:uid="{F64D6599-9FD1-0D47-BEDE-00B38B445ADC}"/>
    <cellStyle name="Accent3 4" xfId="125" xr:uid="{5148DEA3-850C-6343-B957-E4AFD247FF34}"/>
    <cellStyle name="Accent4 2" xfId="126" xr:uid="{215AE201-6D0B-A34B-9B22-52FB679C34CF}"/>
    <cellStyle name="Accent4 2 2" xfId="127" xr:uid="{5511FA12-F3F6-9A49-898E-FFD59C396B8A}"/>
    <cellStyle name="Accent4 3" xfId="128" xr:uid="{041CE3A3-5639-8848-8B80-1EB56E0B5FE8}"/>
    <cellStyle name="Accent4 4" xfId="129" xr:uid="{D740715E-361F-AB44-BE71-8B486FBD1391}"/>
    <cellStyle name="Accent5 2" xfId="130" xr:uid="{E8413CAE-E09D-F249-971E-6D6A4DD0DF2C}"/>
    <cellStyle name="Accent5 2 2" xfId="131" xr:uid="{2082E284-1DFC-3648-92B2-45C5E52CEA3A}"/>
    <cellStyle name="Accent5 3" xfId="132" xr:uid="{072B2E48-D842-6B4B-9051-B608FB08C4CF}"/>
    <cellStyle name="Accent5 4" xfId="133" xr:uid="{989C54C6-9B19-954F-9367-6E605A54235F}"/>
    <cellStyle name="Accent6 2" xfId="134" xr:uid="{ED25669B-2B37-1A42-93DA-ADF1B12CD22A}"/>
    <cellStyle name="Accent6 2 2" xfId="135" xr:uid="{275FC803-B49E-F54E-92E6-389B28F71960}"/>
    <cellStyle name="Accent6 3" xfId="136" xr:uid="{D32336B6-4086-544B-86D8-7514E6A1293C}"/>
    <cellStyle name="Accent6 4" xfId="137" xr:uid="{2F32A0D6-C05D-8640-8BFB-6D8961409955}"/>
    <cellStyle name="Bad 2" xfId="138" xr:uid="{E12DDDCD-E198-5242-933A-60CE5C9AB632}"/>
    <cellStyle name="Bad 2 2" xfId="139" xr:uid="{6A947C2E-E20E-054B-B38C-5F8459CBCC39}"/>
    <cellStyle name="Bad 3" xfId="140" xr:uid="{20C9DBD4-7734-C645-B7F1-DEC36EEF0702}"/>
    <cellStyle name="Bad 4" xfId="141" xr:uid="{A7F7C96B-818C-1344-8035-205B2BAC7573}"/>
    <cellStyle name="Calculation 2" xfId="142" xr:uid="{B4D78641-78E6-9C41-AF7F-BA751A4643BE}"/>
    <cellStyle name="Calculation 2 2" xfId="143" xr:uid="{14DF6EEF-4BF8-6846-B6EA-E5EE581AF2BE}"/>
    <cellStyle name="Calculation 3" xfId="144" xr:uid="{18224911-0E63-984F-9F4D-245BD3F4BDAC}"/>
    <cellStyle name="Calculation 4" xfId="145" xr:uid="{FEB2C1A2-D617-D64B-BB90-DDF925EA0AE4}"/>
    <cellStyle name="CellBAValue" xfId="146" xr:uid="{EF63AD18-E6EE-F34E-A58E-788E53468864}"/>
    <cellStyle name="CellBAValue 2" xfId="147" xr:uid="{1FB2DAFE-9B22-F044-A568-6B72D864C242}"/>
    <cellStyle name="CellNationValue" xfId="148" xr:uid="{FAFAB3AF-9CE6-9E49-9C39-013F7C02572F}"/>
    <cellStyle name="CellUAValue" xfId="149" xr:uid="{7BC54588-5127-E947-81B3-834B14F0B59D}"/>
    <cellStyle name="CellUAValue 2" xfId="150" xr:uid="{3AA4C2D5-C666-E047-9F72-4EC54C2A718C}"/>
    <cellStyle name="cf1" xfId="151" xr:uid="{3374FB69-3A13-1D45-949B-E485A799A02F}"/>
    <cellStyle name="Check Cell 2" xfId="152" xr:uid="{D6733116-AEF8-3F43-BAFE-18C365C736F2}"/>
    <cellStyle name="Check Cell 2 2" xfId="153" xr:uid="{4C3D99C3-D677-6742-989D-FA3F242CE48D}"/>
    <cellStyle name="Check Cell 3" xfId="154" xr:uid="{05FA17A6-7056-F948-B223-EE333AE29F92}"/>
    <cellStyle name="Check Cell 4" xfId="155" xr:uid="{02A017A7-01C7-904D-9F07-E597B780FB28}"/>
    <cellStyle name="Comma" xfId="1" builtinId="3" customBuiltin="1"/>
    <cellStyle name="Comma 2" xfId="156" xr:uid="{0AA2342B-CD54-774F-A68B-64BD45FEEED1}"/>
    <cellStyle name="Comma 2 2" xfId="157" xr:uid="{DCF23019-4F29-5540-AFB9-3FDD3F1203BD}"/>
    <cellStyle name="Comma 2 2 2" xfId="158" xr:uid="{0F673010-D398-864B-8FBC-CCD590E6418F}"/>
    <cellStyle name="Comma 2 2 3" xfId="159" xr:uid="{FCDF4580-DA31-074D-94E5-BABB4C006C67}"/>
    <cellStyle name="Comma 2 3" xfId="160" xr:uid="{00503D7F-84C8-B249-BCFF-706E3A6F9D11}"/>
    <cellStyle name="Comma 2 3 2" xfId="161" xr:uid="{52CF24F3-D275-7B4D-9E2E-27332756569B}"/>
    <cellStyle name="Comma 2 3 3" xfId="162" xr:uid="{2CDB759E-1414-7940-85A0-3A86A6159D1A}"/>
    <cellStyle name="Comma 2 4" xfId="163" xr:uid="{AF119D1F-B67E-4447-BEF1-90B78F287BC2}"/>
    <cellStyle name="Comma 2 4 2" xfId="164" xr:uid="{F89F208A-9BD7-5240-ABE7-B0AF84930EBF}"/>
    <cellStyle name="Comma 2 4 3" xfId="165" xr:uid="{B0CBAA83-C484-F340-ADC3-2434884579A6}"/>
    <cellStyle name="Comma 2 5" xfId="166" xr:uid="{C51DF7BC-1B08-3140-84AF-AE27B7ED0263}"/>
    <cellStyle name="Comma 2 5 2" xfId="167" xr:uid="{4B0E3D29-99A1-1048-9684-6EE244D1B2C4}"/>
    <cellStyle name="Comma 2 6" xfId="168" xr:uid="{6D35D145-7C45-B046-AA12-C000DFE131F7}"/>
    <cellStyle name="Comma 3" xfId="169" xr:uid="{6CE3B86F-1EC0-B24A-BD1F-0F5C5C3F6217}"/>
    <cellStyle name="Comma 3 2" xfId="170" xr:uid="{38CA632D-A1DB-1549-A6DC-74A323B0E5BD}"/>
    <cellStyle name="Comma 3 3" xfId="171" xr:uid="{A05D910A-163A-AC43-8F9A-449F378AB20F}"/>
    <cellStyle name="Comma 4" xfId="172" xr:uid="{6E96961F-B535-EA47-B8C1-AA74541F6BFC}"/>
    <cellStyle name="Comma 4 2" xfId="173" xr:uid="{730DCFE5-5E62-9641-9A86-6C45BF0DA22B}"/>
    <cellStyle name="Comma 4 2 2" xfId="174" xr:uid="{91D8F0E4-72C9-714C-AC9C-6B0BA820935A}"/>
    <cellStyle name="Comma 4 2 3" xfId="175" xr:uid="{449D6AB6-E244-4049-B48B-2FD4B3445B2A}"/>
    <cellStyle name="Comma 4 3" xfId="176" xr:uid="{DC076C7F-817B-4F41-AA8F-50C93040BC80}"/>
    <cellStyle name="Comma 4 4" xfId="177" xr:uid="{A9AC1160-6D2B-4642-87CF-DFAC92E4CC88}"/>
    <cellStyle name="Comma 5" xfId="178" xr:uid="{1193FD89-4F82-874D-9898-BEC91A18D890}"/>
    <cellStyle name="Comma 5 2" xfId="179" xr:uid="{849FE378-0FD5-1A4E-8228-64295C33941E}"/>
    <cellStyle name="Comma 5 3" xfId="180" xr:uid="{EDB15BFD-F942-7242-9E9B-598249F64E2B}"/>
    <cellStyle name="Comma 6" xfId="181" xr:uid="{AAADBE71-B50F-014B-B8C3-930098E918EA}"/>
    <cellStyle name="Comma 6 2" xfId="182" xr:uid="{1655D120-BC5D-DB48-B7CC-A0198C7E718A}"/>
    <cellStyle name="Comma 7" xfId="183" xr:uid="{E367B297-F9C3-5745-BBA1-28CF2F2D691A}"/>
    <cellStyle name="Comma 8" xfId="184" xr:uid="{F03E1F24-26BC-F749-A75B-C3AB38EF7A86}"/>
    <cellStyle name="Explanatory Text 2" xfId="185" xr:uid="{98BC1C07-D11C-2545-A421-D94048F31692}"/>
    <cellStyle name="Explanatory Text 2 2" xfId="186" xr:uid="{104DD79B-4E86-6C49-9917-985C0CE8929B}"/>
    <cellStyle name="Explanatory Text 3" xfId="187" xr:uid="{FB1D2A7D-138F-A441-9831-D57412FC9C5C}"/>
    <cellStyle name="Explanatory Text 4" xfId="188" xr:uid="{971D4436-9B53-4E4C-82B7-0E6FAB82042A}"/>
    <cellStyle name="Good 2" xfId="189" xr:uid="{50AAB716-60DC-634B-8F41-17F6761EE402}"/>
    <cellStyle name="Good 2 2" xfId="190" xr:uid="{1E2DD4A0-E62D-AC42-8E7C-12FE0B511EBC}"/>
    <cellStyle name="Good 3" xfId="191" xr:uid="{55E8F663-80D2-3849-A3B5-E114902C4E09}"/>
    <cellStyle name="Good 4" xfId="192" xr:uid="{8710F3CF-8DB9-1A4B-9E52-0F3D81D62F48}"/>
    <cellStyle name="Heading 1 2" xfId="193" xr:uid="{D6D1D53D-85F5-6B4A-89BB-7EC4F19AA194}"/>
    <cellStyle name="Heading 1 2 2" xfId="194" xr:uid="{34AF11CA-8A81-F144-9098-47357D0E8D80}"/>
    <cellStyle name="Heading 1 3" xfId="195" xr:uid="{CF20D900-19EB-9C46-B0A3-3C876CC8C41C}"/>
    <cellStyle name="Heading 1 4" xfId="196" xr:uid="{8C68DE6B-F95C-324B-AB16-3B38B2DEF7F1}"/>
    <cellStyle name="Heading 2 2" xfId="197" xr:uid="{CA417F17-32B6-D746-AAB0-A01B6A6A4C20}"/>
    <cellStyle name="Heading 2 2 2" xfId="198" xr:uid="{4EF05D1C-C3C4-854F-8CB2-881E68C7A902}"/>
    <cellStyle name="Heading 2 3" xfId="199" xr:uid="{EF335A63-D4B3-6E4C-B0C4-7ED0F368E997}"/>
    <cellStyle name="Heading 2 4" xfId="200" xr:uid="{7CBF3518-4CDC-8C40-87D0-1BCD1CFE315F}"/>
    <cellStyle name="Heading 3 2" xfId="201" xr:uid="{1BFCE5CD-F3A9-F84D-97E7-5BCF406B3F32}"/>
    <cellStyle name="Heading 3 2 2" xfId="202" xr:uid="{131E9566-F3B0-B943-ABC7-FBC5AD684047}"/>
    <cellStyle name="Heading 3 3" xfId="203" xr:uid="{324D8A44-3E68-FB42-BBA6-07E6B1316024}"/>
    <cellStyle name="Heading 3 4" xfId="204" xr:uid="{1CF69532-2099-2344-9F12-31E2EB710DA2}"/>
    <cellStyle name="Heading 4 2" xfId="205" xr:uid="{F3B62929-946F-A848-958E-E034FA40221A}"/>
    <cellStyle name="Heading 4 2 2" xfId="206" xr:uid="{E5B3168C-8C33-5349-9115-AE925F3635B7}"/>
    <cellStyle name="Heading 4 3" xfId="207" xr:uid="{8B2BB9F4-F219-C24C-A844-5A4A8958AB74}"/>
    <cellStyle name="Heading 4 4" xfId="208" xr:uid="{9AECC4D4-9463-6144-BC3B-4AEBDF64C957}"/>
    <cellStyle name="Hyperlink" xfId="209" xr:uid="{50A86084-ACE8-6E40-8A4A-B60286629F39}"/>
    <cellStyle name="Hyperlink 2" xfId="210" xr:uid="{AE3516C5-D7E8-CB49-9A51-39E3C19E7861}"/>
    <cellStyle name="Hyperlink 2 2" xfId="211" xr:uid="{102A18BD-80A6-AA49-8B58-69C0F3EED002}"/>
    <cellStyle name="Hyperlink 2 3" xfId="212" xr:uid="{48F32A35-9B56-6449-A03F-CA3CA185CDA4}"/>
    <cellStyle name="Hyperlink 3" xfId="213" xr:uid="{5D92F4D8-A125-3F45-9EA5-F72ECFFC2CDE}"/>
    <cellStyle name="Hyperlink 4" xfId="214" xr:uid="{34B07F55-B14C-294A-871A-910EEC6E33B9}"/>
    <cellStyle name="Hyperlink 4 2" xfId="215" xr:uid="{4683762A-B01C-0A4E-8679-55F88A555335}"/>
    <cellStyle name="Hyperlink 4 3" xfId="216" xr:uid="{5AC8E383-6BB0-6F48-A355-8F728FDD7EED}"/>
    <cellStyle name="Hyperlink 4 4" xfId="217" xr:uid="{13C5D1F0-FEE2-5840-AF8C-27C464D1842D}"/>
    <cellStyle name="Hyperlink 5" xfId="218" xr:uid="{29517A9E-65F9-0145-909B-370E8B4AA80E}"/>
    <cellStyle name="Hyperlink 5 2" xfId="219" xr:uid="{287D5315-78C9-EA4E-86E8-5274E13A4B4F}"/>
    <cellStyle name="Input 2" xfId="220" xr:uid="{74D39E60-F17F-1549-A022-7A119C5D27CD}"/>
    <cellStyle name="Input 2 2" xfId="221" xr:uid="{4D1EC2AF-38C2-9B43-9A1D-09DFF1626F2B}"/>
    <cellStyle name="Input 3" xfId="222" xr:uid="{A04583D9-B042-0040-8DFF-43106F7923E5}"/>
    <cellStyle name="Input 4" xfId="223" xr:uid="{F166005F-456F-494A-86F6-EC86901C011B}"/>
    <cellStyle name="Linked Cell 2" xfId="224" xr:uid="{E83641C6-F52A-A649-A515-A379DAB4FA33}"/>
    <cellStyle name="Linked Cell 2 2" xfId="225" xr:uid="{0A63580E-1568-604E-A16C-A835B17BE6F1}"/>
    <cellStyle name="Linked Cell 3" xfId="226" xr:uid="{C7F76904-C714-654A-BCFF-2F43BA37977D}"/>
    <cellStyle name="Linked Cell 4" xfId="227" xr:uid="{6E9B72E1-D542-9243-87B0-1719D73043D6}"/>
    <cellStyle name="Neutral 2" xfId="228" xr:uid="{A8506A81-3CEF-5948-8EC2-80DAA6FAB04B}"/>
    <cellStyle name="Neutral 2 2" xfId="229" xr:uid="{117C6381-1612-FA4C-9BAD-21C6463436FE}"/>
    <cellStyle name="Neutral 3" xfId="230" xr:uid="{F18EEB96-E9D6-1B44-BFAF-F343E7D50AEC}"/>
    <cellStyle name="Neutral 4" xfId="231" xr:uid="{58F694D1-29E7-D842-B519-ACBC1BA09659}"/>
    <cellStyle name="Normal" xfId="0" builtinId="0" customBuiltin="1"/>
    <cellStyle name="Normal 2" xfId="233" xr:uid="{B1CCA9FF-2987-3549-B387-5DAB527458D8}"/>
    <cellStyle name="Normal 2 2" xfId="234" xr:uid="{9F8FE3F1-E155-2644-B47E-72C015E83200}"/>
    <cellStyle name="Normal 2 2 2" xfId="235" xr:uid="{AEE5FB70-458B-0B47-B5F8-03A71B1BB931}"/>
    <cellStyle name="Normal 2 2 3" xfId="236" xr:uid="{9D7F5969-870D-A84A-A9A7-D87982CCE4CD}"/>
    <cellStyle name="Normal 2 2 4" xfId="237" xr:uid="{25B7B930-AB01-9044-B022-57E90FFFB4C2}"/>
    <cellStyle name="Normal 2 3" xfId="238" xr:uid="{19F8CF22-0ACC-DF4D-B4BE-1303D3197949}"/>
    <cellStyle name="Normal 2 3 2" xfId="239" xr:uid="{8A04AD2D-B472-F647-B460-CD5B76D72C31}"/>
    <cellStyle name="Normal 2 4" xfId="240" xr:uid="{0719483D-D9C1-814F-8801-D1C3F8761253}"/>
    <cellStyle name="Normal 2 5" xfId="241" xr:uid="{E609BB1D-F4AB-B544-972A-E0B35DCCD4A3}"/>
    <cellStyle name="Normal 3" xfId="242" xr:uid="{518987F6-A7BE-0749-8C7F-1D0736EEA57E}"/>
    <cellStyle name="Normal 3 2" xfId="243" xr:uid="{695082B5-0F99-F942-AE1F-F1E19EA70296}"/>
    <cellStyle name="Normal 3 2 2" xfId="244" xr:uid="{49C28C0D-1988-004F-8BBC-729B598AD3C6}"/>
    <cellStyle name="Normal 3 3" xfId="245" xr:uid="{A07326CF-D8CC-5E44-96B0-BBCAEDFC0EF1}"/>
    <cellStyle name="Normal 3 3 2" xfId="246" xr:uid="{E1D7B961-52EC-6341-BF07-45FEB6497A10}"/>
    <cellStyle name="Normal 3 3 3" xfId="247" xr:uid="{19877CAB-5050-8148-B1A3-4684517519D1}"/>
    <cellStyle name="Normal 3 4" xfId="248" xr:uid="{F6E9EEE5-844C-DF4A-8411-C56512AC46D8}"/>
    <cellStyle name="Normal 3 4 2" xfId="249" xr:uid="{C1FBA365-955A-8546-9839-B7B33935BF91}"/>
    <cellStyle name="Normal 3 5" xfId="250" xr:uid="{0ED616F1-95DE-8C4D-B307-59AEB5F7F2A1}"/>
    <cellStyle name="Normal 3 5 2" xfId="251" xr:uid="{93FD479A-1FB0-C749-A2A5-178E9749FCE0}"/>
    <cellStyle name="Normal 3 6" xfId="252" xr:uid="{CCB7CC66-2DBA-4741-9E43-14DF88882477}"/>
    <cellStyle name="Normal 4" xfId="253" xr:uid="{4C161459-5D16-9B4E-BFF4-F4E1845D71B2}"/>
    <cellStyle name="Normal 5" xfId="254" xr:uid="{DFA5D3B4-9C90-7248-96E0-18EB8755CC04}"/>
    <cellStyle name="Normal 5 2" xfId="255" xr:uid="{FA132D33-7402-5042-924E-E64108F94C60}"/>
    <cellStyle name="Normal 6" xfId="256" xr:uid="{B4C8BD64-03C8-EB4B-A42E-8B5C76EB7FF6}"/>
    <cellStyle name="Normal 6 2" xfId="257" xr:uid="{1BAF4BDA-5550-FC40-902F-0F7FA8C83514}"/>
    <cellStyle name="Normal 7" xfId="258" xr:uid="{B202B7F5-059B-0A44-A763-4EFA849C10F4}"/>
    <cellStyle name="Normal 7 2" xfId="259" xr:uid="{E875C218-F303-A442-AB6B-289E820334F7}"/>
    <cellStyle name="Normal 8" xfId="260" xr:uid="{1146C3DD-12AC-364D-894F-6F9F9971C552}"/>
    <cellStyle name="Normal 9" xfId="261" xr:uid="{D0C7F3B8-A426-634A-A1FA-BE3591B7A7EC}"/>
    <cellStyle name="Normal_10-11 Data (2009)" xfId="232" xr:uid="{089A6434-8738-2846-828E-B2BA209C4761}"/>
    <cellStyle name="Note 2" xfId="262" xr:uid="{5EBAE01C-3522-F842-A1F8-BC43579C5E08}"/>
    <cellStyle name="Note 2 2" xfId="263" xr:uid="{0C3D64DD-2B7C-7B4B-AFD7-8DD3B0115DC0}"/>
    <cellStyle name="Note 2 2 2" xfId="264" xr:uid="{F84FBF41-5BF1-A84D-A274-ACB3DF37F7E2}"/>
    <cellStyle name="Note 2 3" xfId="265" xr:uid="{040FF273-4986-F74A-B870-ED6DA2F5AFEC}"/>
    <cellStyle name="Note 2 4" xfId="266" xr:uid="{D27A2CA7-F962-0240-A401-8B47D71AC25F}"/>
    <cellStyle name="Note 2 5" xfId="267" xr:uid="{1AB85B44-C2FF-0548-8660-56DD69976497}"/>
    <cellStyle name="Note 3" xfId="268" xr:uid="{CB2326EB-F2CC-A84F-A59D-ABC13823F403}"/>
    <cellStyle name="Note 4" xfId="269" xr:uid="{166C5546-ED11-CF48-8B06-371DE4F4B819}"/>
    <cellStyle name="Note 5" xfId="270" xr:uid="{711346F8-6C89-A14B-85B4-46D0D76F836F}"/>
    <cellStyle name="Output 2" xfId="271" xr:uid="{249230DC-40B1-0A4F-94C9-3C844DB946D9}"/>
    <cellStyle name="Output 2 2" xfId="272" xr:uid="{971ADCE6-EE4F-814C-8F1D-CBC54BAED656}"/>
    <cellStyle name="Output 3" xfId="273" xr:uid="{FED6C2C8-D94D-EB42-BEDB-1BCF3542C135}"/>
    <cellStyle name="Output 4" xfId="274" xr:uid="{EEA49742-E39C-D442-9DAA-2F0ACF3FA8B0}"/>
    <cellStyle name="Per cent" xfId="2" builtinId="5" customBuiltin="1"/>
    <cellStyle name="Percent 2" xfId="275" xr:uid="{FBC9FBF0-AD0B-EF43-BF27-7B707050F2A7}"/>
    <cellStyle name="Percent 3" xfId="276" xr:uid="{6FD674AC-221F-1E49-9B0F-715DFA353581}"/>
    <cellStyle name="Percent 4" xfId="277" xr:uid="{1D677189-7950-754E-91CC-A7D3BCBF0DF5}"/>
    <cellStyle name="Title 2" xfId="278" xr:uid="{DE83437B-848B-CF4E-98FF-61AEAF04CB48}"/>
    <cellStyle name="Title 2 2" xfId="279" xr:uid="{49A9FD51-9EDA-C544-A762-8C2B80E49FD0}"/>
    <cellStyle name="Title 3" xfId="280" xr:uid="{439C1DB2-1D2A-2F40-9892-5FA8ECEC3D46}"/>
    <cellStyle name="Title 4" xfId="281" xr:uid="{05CE03A1-7CB6-764A-B289-FCD265AF9D6F}"/>
    <cellStyle name="Total 2" xfId="282" xr:uid="{44000D23-6B7A-9049-9053-BB5B1F2624EB}"/>
    <cellStyle name="Total 2 2" xfId="283" xr:uid="{8FCAF1E8-CC36-C040-9165-227F9C64920A}"/>
    <cellStyle name="Total 3" xfId="284" xr:uid="{E2DCA485-2C52-3047-90C7-BB5886264B26}"/>
    <cellStyle name="Total 4" xfId="285" xr:uid="{6B1FE4FE-5865-9F4B-8C11-B85BD5FEE830}"/>
    <cellStyle name="Warning Text 2" xfId="286" xr:uid="{16BB3C28-BA04-0C49-8A94-45DE0CA35C66}"/>
    <cellStyle name="Warning Text 2 2" xfId="287" xr:uid="{BE37A995-CEF6-6949-AB10-14F53432CDB4}"/>
    <cellStyle name="Warning Text 3" xfId="288" xr:uid="{D11635C4-7AE5-C144-AE99-DDF0D6A09B9E}"/>
    <cellStyle name="Warning Text 4" xfId="289" xr:uid="{32EDF093-A3AC-F942-BF1C-996267ECF4F4}"/>
  </cellStyles>
  <dxfs count="2">
    <dxf>
      <font>
        <color rgb="FF9C0006"/>
        <family val="2"/>
      </font>
      <fill>
        <patternFill patternType="solid">
          <fgColor rgb="FFFFC7CE"/>
          <bgColor rgb="FFFFC7CE"/>
        </patternFill>
      </fill>
    </dxf>
    <dxf>
      <font>
        <color rgb="FF9C0006"/>
        <family val="2"/>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theme" Target="theme/theme1.xml"/><Relationship Id="rId3" Type="http://purl.oclc.org/ooxml/officeDocument/relationships/worksheet" Target="worksheets/sheet3.xml"/><Relationship Id="rId7" Type="http://purl.oclc.org/ooxml/officeDocument/relationships/worksheet" Target="worksheets/sheet7.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worksheet" Target="worksheets/sheet6.xml"/><Relationship Id="rId11" Type="http://purl.oclc.org/ooxml/officeDocument/relationships/calcChain" Target="calcChain.xml"/><Relationship Id="rId5" Type="http://purl.oclc.org/ooxml/officeDocument/relationships/worksheet" Target="worksheets/sheet5.xml"/><Relationship Id="rId10" Type="http://purl.oclc.org/ooxml/officeDocument/relationships/sharedStrings" Target="sharedStrings.xml"/><Relationship Id="rId4" Type="http://purl.oclc.org/ooxml/officeDocument/relationships/worksheet" Target="worksheets/sheet4.xml"/><Relationship Id="rId9" Type="http://purl.oclc.org/ooxml/officeDocument/relationships/styles" Target="styles.xml"/></Relationships>
</file>

<file path=xl/tables/table1.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 xr:uid="{111FCF58-178C-6040-A967-B62587466608}" name="Contents" displayName="Contents" ref="A3:B7" totalsRowShown="0">
  <tableColumns count="2">
    <tableColumn id="1" xr3:uid="{2AAE79A5-F897-F04E-A527-F75C5C5D53A7}" name="Worksheet name"/>
    <tableColumn id="2" xr3:uid="{BC259034-584A-4A47-947B-12404C65E4ED}" name="Worksheet title"/>
  </tableColumns>
  <tableStyleInfo showFirstColumn="0" showLastColumn="0" showRowStripes="1" showColumnStripes="0"/>
</table>
</file>

<file path=xl/tables/table2.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2" xr:uid="{8CECED08-208F-7D49-A5BD-F3D3AC9934EE}" name="Notes" displayName="Notes" ref="A3:B6" totalsRowShown="0">
  <tableColumns count="2">
    <tableColumn id="1" xr3:uid="{6AB80DB7-246C-9F42-A5C5-C9D40635415C}" name="Note"/>
    <tableColumn id="2" xr3:uid="{26AEE8EA-526E-674B-AFEB-17E78CADF462}" name="Explanation"/>
  </tableColumns>
  <tableStyleInfo showFirstColumn="0" showLastColumn="0" showRowStripes="1" showColumnStripes="0"/>
</table>
</file>

<file path=xl/tables/table3.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3" xr:uid="{5A097484-331D-4142-97F1-F4B92D21E9B3}" name="Definitions" displayName="Definitions" ref="D3:E20" totalsRowShown="0">
  <tableColumns count="2">
    <tableColumn id="1" xr3:uid="{B3D1837A-4FCA-754A-AE3D-355A34194DB0}" name="Term"/>
    <tableColumn id="2" xr3:uid="{0A17A16B-DC5F-8545-B2F6-127E7BD31A9A}" name="Definition"/>
  </tableColumns>
  <tableStyleInfo showFirstColumn="0" showLastColumn="0" showRowStripes="1" showColumnStripes="0"/>
</table>
</file>

<file path=xl/tables/table4.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4" xr:uid="{460DB66F-EA9A-4D4B-B0E8-70E2EEF42550}" name="table_1" displayName="table_1" ref="A13:H17" totalsRowShown="0">
  <autoFilter ref="A13:H17" xr:uid="{71F7CA0D-9F34-3842-89A7-B59A26408B5E}"/>
  <tableColumns count="8">
    <tableColumn id="1" xr3:uid="{05C17C25-CB0D-1F4D-85B2-E9135AC8D1B5}" name="Category Line"/>
    <tableColumn id="2" xr3:uid="{98B68820-53ED-3845-B237-AAD3918AB428}" name="Category Description"/>
    <tableColumn id="3" xr3:uid="{E1B617DF-BF9B-694D-B29A-4BCCC53F8C26}" name="Council Tax: Authority_x000a_£ thousand"/>
    <tableColumn id="4" xr3:uid="{A892833B-FB15-C745-A2D5-B2933447132C}" name="Council Tax: Class_x000a_£ thousand"/>
    <tableColumn id="5" xr3:uid="{89314C86-6850-0340-9E8C-F6EDDA66CABC}" name="Council Tax: England_x000a_£ thousand"/>
    <tableColumn id="6" xr3:uid="{C3BD7056-D75F-A249-8094-2933197EFD31}" name="National Non Domestic Rates: Authority_x000a_£ thousand"/>
    <tableColumn id="7" xr3:uid="{C46EF329-4432-6C49-85B5-F76754B688EB}" name="National Non Domestic Rates: Class_x000a_£ thousand"/>
    <tableColumn id="8" xr3:uid="{33DF665C-E2BF-A64B-862D-B93DFBC9FDAF}" name="National Non Domestic Rates: England_x000a_£ thousand"/>
  </tableColumns>
  <tableStyleInfo showFirstColumn="0" showLastColumn="0" showRowStripes="1" showColumnStripes="0"/>
</table>
</file>

<file path=xl/tables/table5.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5" xr:uid="{8952EB18-8ACF-B24A-B5A8-008564F3750C}" name="table_2" displayName="table_2" ref="A18:H21" totalsRowShown="0">
  <autoFilter ref="A18:H21" xr:uid="{146D798C-1DD9-8848-9ED7-B63A8AAB9E35}"/>
  <tableColumns count="8">
    <tableColumn id="1" xr3:uid="{A5863739-9D36-7646-842C-7599BB1CB5B3}" name="Category Line"/>
    <tableColumn id="2" xr3:uid="{467A0859-8C4B-A34E-BDE4-C925B46AA41B}" name="Category Description"/>
    <tableColumn id="3" xr3:uid="{DAF86199-F408-7C4C-A6D5-F25B475166FD}" name="Council Tax: Authority_x000a_£ thousand"/>
    <tableColumn id="4" xr3:uid="{49A1F0F0-79C2-3E4C-90C6-E7464EA16FDA}" name="Council Tax: Class_x000a_£ thousand"/>
    <tableColumn id="5" xr3:uid="{8CE2DC8E-DBAA-E448-8F12-EE1EA6C67249}" name="Council Tax: England_x000a_£ thousand"/>
    <tableColumn id="6" xr3:uid="{255B8AA3-C520-5543-9AB2-81B05FD23E39}" name="National Non Domestic Rates: Authority _x000a_£ thousand"/>
    <tableColumn id="7" xr3:uid="{3F9D8CA9-81A1-A54F-BB64-5E665E746632}" name="National Non Domestic Rates: Class_x000a_£ thousand"/>
    <tableColumn id="8" xr3:uid="{D41EAC43-479D-0148-A6A1-2E3484006F54}" name="National Non Domestic Rates: England_x000a_£ thousand"/>
  </tableColumns>
  <tableStyleInfo showFirstColumn="0" showLastColumn="0" showRowStripes="1" showColumnStripes="0"/>
</table>
</file>

<file path=xl/tables/table6.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6" xr:uid="{1F14B479-5BA0-DD4F-A3A4-5AFEAC9D9280}" name="Table_6a" displayName="Table_6a" ref="A3:L306" totalsRowShown="0">
  <tableColumns count="12">
    <tableColumn id="1" xr3:uid="{B19BA10B-032A-1242-BB49-CC4CA87C0A36}" name="Authority"/>
    <tableColumn id="2" xr3:uid="{9D882CA6-3754-C049-A228-C3E288EF2299}" name="E-Code"/>
    <tableColumn id="3" xr3:uid="{C99CA34F-B5D5-AB46-A588-FE85F83FC591}" name="ONS Code"/>
    <tableColumn id="4" xr3:uid="{33AE135C-8EB9-8045-8796-675BEA3A7A1F}" name="Class"/>
    <tableColumn id="5" xr3:uid="{A0559C00-3A51-4341-B666-9E49829864AC}" name="Region"/>
    <tableColumn id="6" xr3:uid="{419C2F86-60C2-5E49-81ED-DBEB9082BA9B}" name="Estimate of amount of council tax collectable in the year_x000a_2024-25_x000a_(£ thousand)"/>
    <tableColumn id="7" xr3:uid="{D658C010-7DE1-EF40-B95D-4B3513194257}" name="Amount of council tax collected by 31 March 2025 relating to_x000a_2024-25_x000a_(£ thousand)"/>
    <tableColumn id="8" xr3:uid="{D6B514DF-25B5-A343-B7E4-99E11F9F841F}" name="Amount council tax collected by 31 March 2025 as a percentage of amount collectable_x000a_2024-25_x000a_(%)"/>
    <tableColumn id="9" xr3:uid="{9C54EE6F-B579-A140-9BCE-4520619FFF32}" name="Estimate of amount of council tax collectable in the year_x000a_2025-26_x000a_(£ thousand)"/>
    <tableColumn id="10" xr3:uid="{318CAAA9-558C-2641-8B68-9FEE3823F7C2}" name="Amount council tax collected by 31 March 2026 relating to _x000a_2025-26_x000a_(£ thousand)"/>
    <tableColumn id="11" xr3:uid="{6C627667-36D6-A54A-97F8-0DBF2311ECEB}" name="Amount of council tax collected by 31 March 2026 as a percentage of amount collectable_x000a_2025-26_x000a_(%)"/>
    <tableColumn id="12" xr3:uid="{456BD190-733C-B14D-9DBE-E29CD99FB608}" name="Notes"/>
  </tableColumns>
  <tableStyleInfo showFirstColumn="0" showLastColumn="0" showRowStripes="1" showColumnStripes="0"/>
</table>
</file>

<file path=xl/tables/table7.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7" xr:uid="{ACA230A9-102E-7243-8FDC-C28557A7EE96}" name="Table_6b" displayName="Table_6b" ref="A3:L306" totalsRowShown="0">
  <tableColumns count="12">
    <tableColumn id="1" xr3:uid="{51353F7B-D772-B94B-8B0D-02E6DE554895}" name="Authority"/>
    <tableColumn id="2" xr3:uid="{7EA79AE2-C845-C241-BD29-E7AABFBA2019}" name="E-Code"/>
    <tableColumn id="3" xr3:uid="{D8DE91B2-2716-9A4C-AE05-864F186532FC}" name="ONS Code"/>
    <tableColumn id="4" xr3:uid="{E9629DEF-14D4-BF49-8BA0-023C2BCB0167}" name="Class"/>
    <tableColumn id="5" xr3:uid="{55FF8075-C528-5341-9E06-8F496E096C33}" name="Region"/>
    <tableColumn id="6" xr3:uid="{FA734857-C466-3446-8C25-36D67EA8DA17}" name="Estimate of non-domestic rates amount collectable in the year_x000a_2024-25_x000a_(£ thousand)"/>
    <tableColumn id="7" xr3:uid="{7F549969-D78C-8144-9A9F-C34962948B5A}" name="Amount of non-domestic rates collected by 31 March 2025 relating to_x000a_2024-25_x000a_(£ thousand)"/>
    <tableColumn id="8" xr3:uid="{823FC4D0-BAC3-654C-A548-BCB9D7410522}" name="Amount of non-domestic rates collected by 31 March 2025 as a percentage of amount collectable_x000a_2024-25_x000a_(%)"/>
    <tableColumn id="9" xr3:uid="{C122FE57-5872-6B45-A104-FD8187484FF1}" name="Estimate of non-domestic rates amount collectable in the year_x000a_2025-26_x000a_(£ thousand)"/>
    <tableColumn id="10" xr3:uid="{5CBB7096-A085-3E47-9E08-228B35081BA3}" name="Amount of non-domestic rates collected by 31 March 2026 relating to _x000a_2025-26_x000a_(£ thousand)"/>
    <tableColumn id="11" xr3:uid="{444415C5-239C-054D-B245-25A374E23607}" name="Amount of non-domestic rates  collected by 31 March 2026 as a percentage of amount collectable_x000a_2025-26_x000a_(%)"/>
    <tableColumn id="12" xr3:uid="{323E6F9B-594C-C248-ADCF-52D741A3B5B1}" name="Notes"/>
  </tableColumns>
  <tableStyleInfo showFirstColumn="0" showLastColumn="0" showRowStripes="1" showColumnStripes="0"/>
</table>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purl.oclc.org/ooxml/officeDocument/relationships/hyperlink" Target="mailto:qrc.statistics@communities.gov.uk" TargetMode="External"/><Relationship Id="rId1" Type="http://purl.oclc.org/ooxml/officeDocument/relationships/hyperlink" Target="https://www.gov.uk/government/collections/council-tax-statistics" TargetMode="External"/></Relationships>
</file>

<file path=xl/worksheets/_rels/sheet2.xml.rels><?xml version="1.0" encoding="UTF-8" standalone="yes"?>
<Relationships xmlns="http://schemas.openxmlformats.org/package/2006/relationships"><Relationship Id="rId1" Type="http://purl.oclc.org/ooxml/officeDocument/relationships/table" Target="../tables/table1.xml"/></Relationships>
</file>

<file path=xl/worksheets/_rels/sheet3.xml.rels><?xml version="1.0" encoding="UTF-8" standalone="yes"?>
<Relationships xmlns="http://schemas.openxmlformats.org/package/2006/relationships"><Relationship Id="rId2" Type="http://purl.oclc.org/ooxml/officeDocument/relationships/table" Target="../tables/table3.xml"/><Relationship Id="rId1" Type="http://purl.oclc.org/ooxml/officeDocument/relationships/table" Target="../tables/table2.xml"/></Relationships>
</file>

<file path=xl/worksheets/_rels/sheet4.xml.rels><?xml version="1.0" encoding="UTF-8" standalone="yes"?>
<Relationships xmlns="http://schemas.openxmlformats.org/package/2006/relationships"><Relationship Id="rId2" Type="http://purl.oclc.org/ooxml/officeDocument/relationships/table" Target="../tables/table5.xml"/><Relationship Id="rId1" Type="http://purl.oclc.org/ooxml/officeDocument/relationships/table" Target="../tables/table4.xml"/></Relationships>
</file>

<file path=xl/worksheets/_rels/sheet5.xml.rels><?xml version="1.0" encoding="UTF-8" standalone="yes"?>
<Relationships xmlns="http://schemas.openxmlformats.org/package/2006/relationships"><Relationship Id="rId1" Type="http://purl.oclc.org/ooxml/officeDocument/relationships/table" Target="../tables/table6.xml"/></Relationships>
</file>

<file path=xl/worksheets/_rels/sheet6.xml.rels><?xml version="1.0" encoding="UTF-8" standalone="yes"?>
<Relationships xmlns="http://schemas.openxmlformats.org/package/2006/relationships"><Relationship Id="rId1" Type="http://purl.oclc.org/ooxml/officeDocument/relationships/table" Target="../tables/table7.xm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1E79C-19EF-4A43-8051-3497113CCEFF}">
  <dimension ref="A1:A22"/>
  <sheetViews>
    <sheetView workbookViewId="0"/>
  </sheetViews>
  <sheetFormatPr baseColWidth="10" defaultColWidth="10.6640625" defaultRowHeight="25" customHeight="1" x14ac:dyDescent="0.15"/>
  <cols>
    <col min="1" max="1" width="206" style="2" customWidth="1"/>
    <col min="2" max="2" width="10.6640625" style="2" customWidth="1"/>
    <col min="3" max="16384" width="10.6640625" style="2"/>
  </cols>
  <sheetData>
    <row r="1" spans="1:1" ht="35.5" customHeight="1" x14ac:dyDescent="0.2">
      <c r="A1" s="1" t="s">
        <v>0</v>
      </c>
    </row>
    <row r="2" spans="1:1" ht="25" customHeight="1" x14ac:dyDescent="0.2">
      <c r="A2" s="3" t="s">
        <v>1</v>
      </c>
    </row>
    <row r="3" spans="1:1" ht="27" customHeight="1" x14ac:dyDescent="0.2">
      <c r="A3" s="3" t="s">
        <v>2</v>
      </c>
    </row>
    <row r="4" spans="1:1" ht="58" customHeight="1" x14ac:dyDescent="0.2">
      <c r="A4" s="4" t="s">
        <v>3</v>
      </c>
    </row>
    <row r="5" spans="1:1" customFormat="1" ht="25" customHeight="1" x14ac:dyDescent="0.15">
      <c r="A5" s="5" t="s">
        <v>4</v>
      </c>
    </row>
    <row r="6" spans="1:1" ht="29.5" customHeight="1" x14ac:dyDescent="0.2">
      <c r="A6" s="3" t="s">
        <v>5</v>
      </c>
    </row>
    <row r="7" spans="1:1" ht="71.5" customHeight="1" x14ac:dyDescent="0.2">
      <c r="A7" s="6" t="s">
        <v>6</v>
      </c>
    </row>
    <row r="8" spans="1:1" ht="30" customHeight="1" x14ac:dyDescent="0.2">
      <c r="A8" s="3" t="s">
        <v>7</v>
      </c>
    </row>
    <row r="9" spans="1:1" ht="41.25" customHeight="1" x14ac:dyDescent="0.2">
      <c r="A9" s="7" t="s">
        <v>8</v>
      </c>
    </row>
    <row r="10" spans="1:1" ht="28" customHeight="1" x14ac:dyDescent="0.2">
      <c r="A10" s="3" t="s">
        <v>9</v>
      </c>
    </row>
    <row r="11" spans="1:1" ht="39" customHeight="1" x14ac:dyDescent="0.2">
      <c r="A11" s="6" t="s">
        <v>10</v>
      </c>
    </row>
    <row r="12" spans="1:1" ht="30" customHeight="1" x14ac:dyDescent="0.2">
      <c r="A12" s="3" t="s">
        <v>11</v>
      </c>
    </row>
    <row r="13" spans="1:1" ht="32.25" customHeight="1" x14ac:dyDescent="0.2">
      <c r="A13" s="6" t="s">
        <v>12</v>
      </c>
    </row>
    <row r="14" spans="1:1" ht="30.5" customHeight="1" x14ac:dyDescent="0.2">
      <c r="A14" s="3" t="s">
        <v>13</v>
      </c>
    </row>
    <row r="15" spans="1:1" ht="33" customHeight="1" x14ac:dyDescent="0.2">
      <c r="A15" s="6" t="s">
        <v>14</v>
      </c>
    </row>
    <row r="16" spans="1:1" customFormat="1" ht="34" customHeight="1" x14ac:dyDescent="0.2">
      <c r="A16" s="8" t="s">
        <v>15</v>
      </c>
    </row>
    <row r="17" spans="1:1" customFormat="1" ht="89" customHeight="1" x14ac:dyDescent="0.2">
      <c r="A17" s="9" t="s">
        <v>16</v>
      </c>
    </row>
    <row r="18" spans="1:1" ht="28.5" customHeight="1" x14ac:dyDescent="0.2">
      <c r="A18" s="3" t="s">
        <v>17</v>
      </c>
    </row>
    <row r="19" spans="1:1" ht="72" customHeight="1" x14ac:dyDescent="0.2">
      <c r="A19" s="9" t="s">
        <v>18</v>
      </c>
    </row>
    <row r="20" spans="1:1" ht="29" customHeight="1" x14ac:dyDescent="0.2">
      <c r="A20" s="3" t="s">
        <v>19</v>
      </c>
    </row>
    <row r="21" spans="1:1" ht="25" customHeight="1" x14ac:dyDescent="0.2">
      <c r="A21" s="6" t="s">
        <v>20</v>
      </c>
    </row>
    <row r="22" spans="1:1" ht="21" customHeight="1" x14ac:dyDescent="0.2">
      <c r="A22" s="10" t="s">
        <v>21</v>
      </c>
    </row>
  </sheetData>
  <hyperlinks>
    <hyperlink ref="A5" r:id="rId1" location="collection-rates-for-council-tax-and-non-domestic-rates" xr:uid="{828AC5DD-B23B-CE4F-A7B3-EB3ACBFA0016}"/>
    <hyperlink ref="A22" r:id="rId2" xr:uid="{E1F95A75-F38F-874E-8984-65622F241419}"/>
  </hyperlinks>
  <pageMargins left="0.70000000000000007" right="0.70000000000000007" top="0.75" bottom="0.75" header="0.30000000000000004" footer="0.30000000000000004"/>
  <headerFooter>
    <oddHeader xml:space="preserve">&amp;C&amp;"Calibri,Regular" OFFICIAL-SENSITIVE - DLUHC USE ONLY&amp;1#
</oddHeader>
    <oddFooter>&amp;C
&amp;1#&amp;"Calibri,Regular"&amp;10 OFFICIAL-SENSITIVE - DLUHC USE ONLY</oddFooter>
  </headerFooter>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71A0C-80F5-C445-AC7F-15DB6DC8724A}">
  <dimension ref="A1:G8"/>
  <sheetViews>
    <sheetView workbookViewId="0"/>
  </sheetViews>
  <sheetFormatPr baseColWidth="10" defaultColWidth="10.6640625" defaultRowHeight="25" customHeight="1" x14ac:dyDescent="0.15"/>
  <cols>
    <col min="1" max="1" width="28.6640625" customWidth="1"/>
    <col min="2" max="2" width="134.5" customWidth="1"/>
    <col min="3" max="3" width="10.6640625" customWidth="1"/>
  </cols>
  <sheetData>
    <row r="1" spans="1:7" ht="45" customHeight="1" x14ac:dyDescent="0.2">
      <c r="A1" s="1" t="s">
        <v>22</v>
      </c>
      <c r="B1" s="2"/>
      <c r="C1" s="2"/>
      <c r="D1" s="2"/>
      <c r="E1" s="2"/>
      <c r="F1" s="2"/>
      <c r="G1" s="2"/>
    </row>
    <row r="2" spans="1:7" ht="26" customHeight="1" x14ac:dyDescent="0.2">
      <c r="A2" s="11" t="s">
        <v>23</v>
      </c>
      <c r="B2" s="2"/>
      <c r="C2" s="2"/>
      <c r="D2" s="2"/>
      <c r="E2" s="2"/>
      <c r="F2" s="2"/>
      <c r="G2" s="2"/>
    </row>
    <row r="3" spans="1:7" ht="31.5" customHeight="1" x14ac:dyDescent="0.2">
      <c r="A3" s="3" t="s">
        <v>24</v>
      </c>
      <c r="B3" s="3" t="s">
        <v>25</v>
      </c>
      <c r="C3" s="2"/>
      <c r="D3" s="2"/>
      <c r="E3" s="2"/>
      <c r="F3" s="2"/>
      <c r="G3" s="2"/>
    </row>
    <row r="4" spans="1:7" ht="25" customHeight="1" x14ac:dyDescent="0.2">
      <c r="A4" s="12" t="s">
        <v>26</v>
      </c>
      <c r="B4" s="6" t="s">
        <v>27</v>
      </c>
      <c r="C4" s="2"/>
      <c r="D4" s="2"/>
      <c r="E4" s="2"/>
      <c r="F4" s="2"/>
      <c r="G4" s="2"/>
    </row>
    <row r="5" spans="1:7" ht="25" customHeight="1" x14ac:dyDescent="0.2">
      <c r="A5" s="12" t="s">
        <v>28</v>
      </c>
      <c r="B5" s="6" t="s">
        <v>29</v>
      </c>
      <c r="C5" s="2"/>
      <c r="D5" s="2"/>
      <c r="E5" s="2"/>
      <c r="F5" s="2"/>
      <c r="G5" s="2"/>
    </row>
    <row r="6" spans="1:7" ht="25" customHeight="1" x14ac:dyDescent="0.2">
      <c r="A6" s="12" t="s">
        <v>30</v>
      </c>
      <c r="B6" s="6" t="s">
        <v>31</v>
      </c>
      <c r="C6" s="2"/>
      <c r="D6" s="2"/>
      <c r="E6" s="2"/>
      <c r="F6" s="13"/>
      <c r="G6" s="2"/>
    </row>
    <row r="7" spans="1:7" ht="25" customHeight="1" x14ac:dyDescent="0.2">
      <c r="A7" s="12" t="s">
        <v>32</v>
      </c>
      <c r="B7" s="6" t="s">
        <v>33</v>
      </c>
      <c r="C7" s="2"/>
      <c r="D7" s="2"/>
      <c r="E7" s="2"/>
      <c r="F7" s="14"/>
      <c r="G7" s="2"/>
    </row>
    <row r="8" spans="1:7" ht="25" customHeight="1" x14ac:dyDescent="0.15">
      <c r="A8" s="2"/>
      <c r="B8" s="2"/>
      <c r="C8" s="2"/>
      <c r="D8" s="2"/>
      <c r="E8" s="2"/>
      <c r="F8" s="2"/>
      <c r="G8" s="2"/>
    </row>
  </sheetData>
  <hyperlinks>
    <hyperlink ref="A4" location="Notes!A1" display="Notes" xr:uid="{A20CBBF3-AFF2-9842-AAFE-5514CFE0A9C4}"/>
    <hyperlink ref="A5" location="'Table 6'!A1" display="Table 6" xr:uid="{DC71C32D-4DF0-8E41-A683-432707CDC9D7}"/>
    <hyperlink ref="A6" location="'Table 6a'!A1" display="Table 6a" xr:uid="{CB152D6F-6AF5-F942-AA43-167FDAD6A757}"/>
    <hyperlink ref="A7" location="'Table 6b'!A1" display="Table 6b" xr:uid="{D2DA8ADB-4DD6-0743-9827-3A3AB0C6FCB3}"/>
  </hyperlinks>
  <pageMargins left="0.70000000000000007" right="0.70000000000000007" top="0.75" bottom="0.75" header="0.30000000000000004" footer="0.30000000000000004"/>
  <headerFooter>
    <oddHeader xml:space="preserve">&amp;C&amp;"Calibri,Regular" OFFICIAL-SENSITIVE - DLUHC USE ONLY&amp;1#
</oddHeader>
    <oddFooter>&amp;C
&amp;1#&amp;"Calibri,Regular"&amp;10 OFFICIAL-SENSITIVE - DLUHC USE ONLY</oddFooter>
  </headerFooter>
  <tableParts count="1">
    <tablePart r:id="rId1"/>
  </tableParts>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B0382-8FC7-3C41-8A97-7D07D66B198E}">
  <dimension ref="A1:E20"/>
  <sheetViews>
    <sheetView workbookViewId="0"/>
  </sheetViews>
  <sheetFormatPr baseColWidth="10" defaultColWidth="10.6640625" defaultRowHeight="25" customHeight="1" x14ac:dyDescent="0.15"/>
  <cols>
    <col min="1" max="1" width="20.83203125" style="2" customWidth="1"/>
    <col min="2" max="2" width="107.5" style="2" customWidth="1"/>
    <col min="3" max="3" width="10.6640625" style="2" customWidth="1"/>
    <col min="4" max="4" width="32.1640625" style="2" customWidth="1"/>
    <col min="5" max="5" width="73.5" style="2" customWidth="1"/>
    <col min="6" max="6" width="10.6640625" style="2" customWidth="1"/>
    <col min="7" max="16384" width="10.6640625" style="2"/>
  </cols>
  <sheetData>
    <row r="1" spans="1:5" ht="25" customHeight="1" x14ac:dyDescent="0.2">
      <c r="A1" s="1" t="s">
        <v>26</v>
      </c>
    </row>
    <row r="2" spans="1:5" ht="25" customHeight="1" x14ac:dyDescent="0.2">
      <c r="A2" s="11" t="s">
        <v>34</v>
      </c>
    </row>
    <row r="3" spans="1:5" s="15" customFormat="1" ht="46" customHeight="1" x14ac:dyDescent="0.2">
      <c r="A3" s="3" t="s">
        <v>35</v>
      </c>
      <c r="B3" s="3" t="s">
        <v>36</v>
      </c>
      <c r="D3" s="3" t="s">
        <v>37</v>
      </c>
      <c r="E3" s="16" t="s">
        <v>38</v>
      </c>
    </row>
    <row r="4" spans="1:5" ht="38.5" customHeight="1" x14ac:dyDescent="0.2">
      <c r="A4" s="11" t="s">
        <v>39</v>
      </c>
      <c r="B4" s="6" t="s">
        <v>40</v>
      </c>
      <c r="D4" s="11" t="s">
        <v>41</v>
      </c>
      <c r="E4" s="6" t="s">
        <v>42</v>
      </c>
    </row>
    <row r="5" spans="1:5" ht="24" customHeight="1" x14ac:dyDescent="0.2">
      <c r="A5" s="11" t="s">
        <v>43</v>
      </c>
      <c r="B5" s="6" t="s">
        <v>44</v>
      </c>
      <c r="D5" s="11" t="s">
        <v>45</v>
      </c>
      <c r="E5" s="11" t="s">
        <v>46</v>
      </c>
    </row>
    <row r="6" spans="1:5" ht="41" customHeight="1" x14ac:dyDescent="0.2">
      <c r="A6" s="11" t="s">
        <v>47</v>
      </c>
      <c r="B6" s="6" t="s">
        <v>48</v>
      </c>
      <c r="D6" s="11" t="s">
        <v>49</v>
      </c>
      <c r="E6" s="11" t="s">
        <v>50</v>
      </c>
    </row>
    <row r="7" spans="1:5" ht="40" customHeight="1" x14ac:dyDescent="0.2">
      <c r="D7" s="11" t="s">
        <v>51</v>
      </c>
      <c r="E7" s="11" t="s">
        <v>52</v>
      </c>
    </row>
    <row r="8" spans="1:5" ht="25" customHeight="1" x14ac:dyDescent="0.2">
      <c r="D8" s="11" t="s">
        <v>53</v>
      </c>
      <c r="E8" s="11" t="s">
        <v>54</v>
      </c>
    </row>
    <row r="9" spans="1:5" ht="25" customHeight="1" x14ac:dyDescent="0.2">
      <c r="D9" s="11" t="s">
        <v>55</v>
      </c>
      <c r="E9" s="11" t="s">
        <v>56</v>
      </c>
    </row>
    <row r="10" spans="1:5" ht="25" customHeight="1" x14ac:dyDescent="0.2">
      <c r="D10" s="11" t="s">
        <v>57</v>
      </c>
      <c r="E10" s="11" t="s">
        <v>58</v>
      </c>
    </row>
    <row r="11" spans="1:5" ht="25" customHeight="1" x14ac:dyDescent="0.2">
      <c r="D11" s="11" t="s">
        <v>59</v>
      </c>
      <c r="E11" s="11" t="s">
        <v>60</v>
      </c>
    </row>
    <row r="12" spans="1:5" ht="25" customHeight="1" x14ac:dyDescent="0.2">
      <c r="D12" s="11" t="s">
        <v>61</v>
      </c>
      <c r="E12" s="11" t="s">
        <v>62</v>
      </c>
    </row>
    <row r="13" spans="1:5" ht="25" customHeight="1" x14ac:dyDescent="0.2">
      <c r="D13" s="11" t="s">
        <v>63</v>
      </c>
      <c r="E13" s="11" t="s">
        <v>64</v>
      </c>
    </row>
    <row r="14" spans="1:5" ht="25" customHeight="1" x14ac:dyDescent="0.2">
      <c r="D14" s="11" t="s">
        <v>65</v>
      </c>
      <c r="E14" s="11" t="s">
        <v>66</v>
      </c>
    </row>
    <row r="15" spans="1:5" ht="25" customHeight="1" x14ac:dyDescent="0.2">
      <c r="D15" s="11" t="s">
        <v>67</v>
      </c>
      <c r="E15" s="11" t="s">
        <v>68</v>
      </c>
    </row>
    <row r="16" spans="1:5" ht="25" customHeight="1" x14ac:dyDescent="0.2">
      <c r="D16" s="11" t="s">
        <v>69</v>
      </c>
      <c r="E16" s="11" t="s">
        <v>70</v>
      </c>
    </row>
    <row r="17" spans="4:5" ht="25" customHeight="1" x14ac:dyDescent="0.2">
      <c r="D17" s="11" t="s">
        <v>71</v>
      </c>
      <c r="E17" s="11" t="s">
        <v>72</v>
      </c>
    </row>
    <row r="18" spans="4:5" ht="25" customHeight="1" x14ac:dyDescent="0.2">
      <c r="D18" s="11" t="s">
        <v>73</v>
      </c>
      <c r="E18" s="11" t="s">
        <v>74</v>
      </c>
    </row>
    <row r="19" spans="4:5" ht="25" customHeight="1" x14ac:dyDescent="0.2">
      <c r="D19" s="11" t="s">
        <v>75</v>
      </c>
      <c r="E19" s="11" t="s">
        <v>76</v>
      </c>
    </row>
    <row r="20" spans="4:5" ht="25" customHeight="1" x14ac:dyDescent="0.2">
      <c r="D20" s="11" t="s">
        <v>77</v>
      </c>
      <c r="E20" s="11" t="s">
        <v>78</v>
      </c>
    </row>
  </sheetData>
  <pageMargins left="0.70000000000000007" right="0.70000000000000007" top="0.75" bottom="0.75" header="0.30000000000000004" footer="0.30000000000000004"/>
  <headerFooter>
    <oddHeader xml:space="preserve">&amp;C&amp;"Calibri,Regular" OFFICIAL-SENSITIVE - DLUHC USE ONLY&amp;1#
</oddHeader>
    <oddFooter>&amp;C
&amp;1#&amp;"Calibri,Regular"&amp;10 OFFICIAL-SENSITIVE - DLUHC USE ONLY</oddFooter>
  </headerFooter>
  <tableParts count="2">
    <tablePart r:id="rId1"/>
    <tablePart r:id="rId2"/>
  </tableParts>
</worksheet>
</file>

<file path=xl/worksheets/sheet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F9BA3-69B6-2C4E-B708-0FE8233BD053}">
  <sheetPr>
    <pageSetUpPr fitToPage="1"/>
  </sheetPr>
  <dimension ref="A1:H21"/>
  <sheetViews>
    <sheetView topLeftCell="A46" workbookViewId="0"/>
  </sheetViews>
  <sheetFormatPr baseColWidth="10" defaultColWidth="10.6640625" defaultRowHeight="15.5" x14ac:dyDescent="0.2"/>
  <cols>
    <col min="1" max="1" width="39.83203125" style="45" bestFit="1" customWidth="1"/>
    <col min="2" max="2" width="92.33203125" style="45" customWidth="1"/>
    <col min="3" max="5" width="37.5" style="45" customWidth="1"/>
    <col min="6" max="8" width="38.5" style="45" customWidth="1"/>
    <col min="9" max="9" width="10.6640625" customWidth="1"/>
  </cols>
  <sheetData>
    <row r="1" spans="1:8" ht="35" customHeight="1" x14ac:dyDescent="0.2">
      <c r="A1" s="17" t="s">
        <v>79</v>
      </c>
      <c r="B1" s="18"/>
      <c r="C1" s="18"/>
      <c r="D1" s="18"/>
      <c r="E1" s="18"/>
      <c r="F1" s="18"/>
      <c r="G1" s="19"/>
      <c r="H1" s="19"/>
    </row>
    <row r="2" spans="1:8" s="25" customFormat="1" ht="38.5" customHeight="1" x14ac:dyDescent="0.2">
      <c r="A2" s="20" t="s">
        <v>80</v>
      </c>
      <c r="B2" s="21"/>
      <c r="C2" s="22"/>
      <c r="D2" s="23"/>
      <c r="E2" s="24"/>
      <c r="F2" s="24"/>
      <c r="G2" s="21"/>
      <c r="H2" s="21"/>
    </row>
    <row r="3" spans="1:8" s="25" customFormat="1" ht="20" x14ac:dyDescent="0.2">
      <c r="A3" s="20" t="s">
        <v>81</v>
      </c>
      <c r="B3" s="26"/>
      <c r="C3" s="27"/>
      <c r="D3" s="28"/>
      <c r="E3" s="28"/>
      <c r="F3" s="28"/>
      <c r="G3" s="29"/>
      <c r="H3" s="29"/>
    </row>
    <row r="4" spans="1:8" s="25" customFormat="1" ht="20" x14ac:dyDescent="0.2">
      <c r="A4" s="20" t="s">
        <v>82</v>
      </c>
      <c r="B4" s="26"/>
      <c r="C4" s="27"/>
      <c r="D4" s="28"/>
      <c r="E4" s="28"/>
      <c r="F4" s="28"/>
      <c r="G4" s="29"/>
      <c r="H4" s="29"/>
    </row>
    <row r="5" spans="1:8" s="25" customFormat="1" ht="20" x14ac:dyDescent="0.2">
      <c r="A5" s="20" t="s">
        <v>83</v>
      </c>
      <c r="B5" s="26"/>
      <c r="C5" s="27"/>
      <c r="D5" s="65"/>
      <c r="E5" s="65"/>
      <c r="F5" s="30"/>
      <c r="G5" s="30"/>
      <c r="H5" s="30"/>
    </row>
    <row r="6" spans="1:8" s="36" customFormat="1" ht="50" customHeight="1" x14ac:dyDescent="0.2">
      <c r="A6" s="13" t="s">
        <v>84</v>
      </c>
      <c r="B6" s="31"/>
      <c r="C6" s="32"/>
      <c r="D6" s="33"/>
      <c r="E6" s="33"/>
      <c r="F6" s="34"/>
      <c r="G6" s="35"/>
      <c r="H6" s="35"/>
    </row>
    <row r="7" spans="1:8" ht="35" customHeight="1" x14ac:dyDescent="0.2">
      <c r="A7" s="37" t="s">
        <v>85</v>
      </c>
      <c r="B7" s="38"/>
      <c r="C7" s="39"/>
      <c r="D7" s="1"/>
      <c r="E7" s="40"/>
      <c r="F7" s="41"/>
      <c r="G7" s="41"/>
      <c r="H7" s="41"/>
    </row>
    <row r="8" spans="1:8" ht="35" customHeight="1" x14ac:dyDescent="0.2">
      <c r="A8" s="42" t="s">
        <v>86</v>
      </c>
      <c r="B8" s="38"/>
      <c r="C8" s="39"/>
      <c r="D8" s="1"/>
      <c r="E8" s="1"/>
      <c r="F8" s="43"/>
      <c r="G8" s="44"/>
      <c r="H8" s="6"/>
    </row>
    <row r="9" spans="1:8" ht="35" customHeight="1" x14ac:dyDescent="0.2">
      <c r="A9" s="26" t="str">
        <f>VLOOKUP($A$7,LA_List!$A:$C,3,FALSE)</f>
        <v>E07000223</v>
      </c>
      <c r="B9" s="38"/>
      <c r="C9" s="38"/>
      <c r="D9"/>
      <c r="E9"/>
      <c r="F9"/>
    </row>
    <row r="10" spans="1:8" ht="35" customHeight="1" x14ac:dyDescent="0.2">
      <c r="A10" s="42" t="s">
        <v>88</v>
      </c>
      <c r="B10" s="38"/>
      <c r="C10" s="38"/>
      <c r="D10"/>
      <c r="E10"/>
      <c r="F10"/>
    </row>
    <row r="11" spans="1:8" ht="35" customHeight="1" x14ac:dyDescent="0.2">
      <c r="A11" s="35" t="str">
        <f>INDEX(LA_List!$D$1:$D$303,MATCH($A$9,LA_List!$C$1:$C$303,0),1)</f>
        <v>Shire Districts</v>
      </c>
      <c r="B11" s="38"/>
      <c r="C11" s="38"/>
      <c r="D11"/>
      <c r="E11"/>
      <c r="F11"/>
    </row>
    <row r="12" spans="1:8" ht="84.5" customHeight="1" x14ac:dyDescent="0.2">
      <c r="A12" s="3" t="s">
        <v>90</v>
      </c>
      <c r="B12" s="38"/>
      <c r="C12" s="38"/>
      <c r="D12"/>
      <c r="E12"/>
      <c r="F12"/>
    </row>
    <row r="13" spans="1:8" ht="82.5" customHeight="1" x14ac:dyDescent="0.15">
      <c r="A13" s="46" t="s">
        <v>91</v>
      </c>
      <c r="B13" s="47" t="s">
        <v>92</v>
      </c>
      <c r="C13" s="48" t="s">
        <v>93</v>
      </c>
      <c r="D13" s="48" t="s">
        <v>94</v>
      </c>
      <c r="E13" s="48" t="s">
        <v>95</v>
      </c>
      <c r="F13" s="49" t="s">
        <v>96</v>
      </c>
      <c r="G13" s="49" t="s">
        <v>97</v>
      </c>
      <c r="H13" s="50" t="s">
        <v>98</v>
      </c>
    </row>
    <row r="14" spans="1:8" ht="46.5" customHeight="1" x14ac:dyDescent="0.15">
      <c r="A14" s="51">
        <v>1</v>
      </c>
      <c r="B14" s="52" t="s">
        <v>99</v>
      </c>
      <c r="C14" s="53">
        <f>INDEX('Table_6a_-_council_tax'!$F$4:$F$306,MATCH($A$9,'Table_6a_-_council_tax'!$C$4:$C$306,0),1)</f>
        <v>51048</v>
      </c>
      <c r="D14" s="53">
        <f>INDEX('Table_6a_-_council_tax'!$F$4:$F$10,MATCH($A$11,'Table_6a_-_council_tax'!$A$4:$A$10,0),1)</f>
        <v>15962106</v>
      </c>
      <c r="E14" s="53">
        <f>'Table_6a_-_council_tax'!$F$4</f>
        <v>42014522</v>
      </c>
      <c r="F14" s="53">
        <f>INDEX('Table_6b-non_domestic_rates'!$F$4:$F$306,MATCH($A$9,'Table_6b-non_domestic_rates'!$C$4:$C$306,0),1)</f>
        <v>20300</v>
      </c>
      <c r="G14" s="54">
        <f>INDEX('Table_6b-non_domestic_rates'!$F$4:$F$10,MATCH($A$11,'Table_6b-non_domestic_rates'!$A$4:$A$10,0),1)</f>
        <v>7621562</v>
      </c>
      <c r="H14" s="54">
        <f>'Table_6b-non_domestic_rates'!$F$4</f>
        <v>27246270</v>
      </c>
    </row>
    <row r="15" spans="1:8" s="45" customFormat="1" ht="58.5" customHeight="1" x14ac:dyDescent="0.2">
      <c r="A15" s="51">
        <v>4</v>
      </c>
      <c r="B15" s="52" t="s">
        <v>100</v>
      </c>
      <c r="C15" s="55">
        <f>INDEX('Table_6a_-_council_tax'!$G$4:$G$306,MATCH($A$9,'Table_6a_-_council_tax'!$C$4:$C$306,0),1)</f>
        <v>49232</v>
      </c>
      <c r="D15" s="56">
        <f>INDEX('Table_6a_-_council_tax'!$G$4:$G$10,MATCH($A$11,'Table_6a_-_council_tax'!$A$4:$A$10,0),1)</f>
        <v>15515496</v>
      </c>
      <c r="E15" s="56">
        <f>'Table_6a_-_council_tax'!$G$4</f>
        <v>40281988</v>
      </c>
      <c r="F15" s="55">
        <f>INDEX('Table_6b-non_domestic_rates'!$G$4:$G$306,MATCH($A$9,'Table_6b-non_domestic_rates'!$C$4:$C$306,0),1)</f>
        <v>19963</v>
      </c>
      <c r="G15" s="53">
        <f>INDEX('Table_6b-non_domestic_rates'!$G$4:$G$10,MATCH($A$11,'Table_6b-non_domestic_rates'!$A$4:$A$10,0),1)</f>
        <v>7462341</v>
      </c>
      <c r="H15" s="53">
        <f>'Table_6b-non_domestic_rates'!$G$4</f>
        <v>26514974</v>
      </c>
    </row>
    <row r="16" spans="1:8" s="19" customFormat="1" ht="46.5" customHeight="1" x14ac:dyDescent="0.2">
      <c r="A16" s="57">
        <v>5</v>
      </c>
      <c r="B16" s="58" t="s">
        <v>101</v>
      </c>
      <c r="C16" s="59">
        <f>INDEX('Table_6a_-_council_tax'!$H$4:$H$306,MATCH($A$9,'Table_6a_-_council_tax'!$C$4:$C$306,0),1)/100</f>
        <v>0.96442559999999999</v>
      </c>
      <c r="D16" s="60">
        <f>INDEX('Table_6a_-_council_tax'!$H$4:$H$10,MATCH($A$11,'Table_6a_-_council_tax'!$A$4:$A$10,0),1)/100</f>
        <v>0.97202060999999995</v>
      </c>
      <c r="E16" s="60">
        <f>'Table_6a_-_council_tax'!$H$4/100</f>
        <v>0.95876344000000002</v>
      </c>
      <c r="F16" s="59">
        <f>INDEX('Table_6b-non_domestic_rates'!$H$4:$H$306,MATCH($A$9,'Table_6b-non_domestic_rates'!$C$4:$C$306,0),1)/100</f>
        <v>0.98339900000000002</v>
      </c>
      <c r="G16" s="60">
        <f>INDEX('Table_6b-non_domestic_rates'!$H$4:$H$10,MATCH($A$11,'Table_6b-non_domestic_rates'!$A$4:$A$10,0),1)/100</f>
        <v>0.97910912999999988</v>
      </c>
      <c r="H16" s="60">
        <f>'Table_6b-non_domestic_rates'!$H$4/100</f>
        <v>0.97315977000000009</v>
      </c>
    </row>
    <row r="17" spans="1:8" ht="81.5" customHeight="1" x14ac:dyDescent="0.2">
      <c r="A17" s="3" t="s">
        <v>102</v>
      </c>
      <c r="B17" s="38"/>
      <c r="C17" s="38"/>
      <c r="D17"/>
      <c r="E17"/>
      <c r="F17"/>
    </row>
    <row r="18" spans="1:8" ht="56" customHeight="1" x14ac:dyDescent="0.15">
      <c r="A18" s="46" t="s">
        <v>91</v>
      </c>
      <c r="B18" s="47" t="s">
        <v>92</v>
      </c>
      <c r="C18" s="61" t="s">
        <v>93</v>
      </c>
      <c r="D18" s="61" t="s">
        <v>94</v>
      </c>
      <c r="E18" s="61" t="s">
        <v>95</v>
      </c>
      <c r="F18" s="62" t="s">
        <v>103</v>
      </c>
      <c r="G18" s="62" t="s">
        <v>97</v>
      </c>
      <c r="H18" s="63" t="s">
        <v>98</v>
      </c>
    </row>
    <row r="19" spans="1:8" ht="46.5" customHeight="1" x14ac:dyDescent="0.15">
      <c r="A19" s="51">
        <v>1</v>
      </c>
      <c r="B19" s="52" t="s">
        <v>104</v>
      </c>
      <c r="C19" s="54">
        <f>INDEX('Table_6a_-_council_tax'!$I$4:$I$306,MATCH($A$9,'Table_6a_-_council_tax'!$C$4:$C$306,0),1)</f>
        <v>54224</v>
      </c>
      <c r="D19" s="53">
        <f>INDEX('Table_6a_-_council_tax'!$I$4:$I$10,MATCH($A$11,'Table_6a_-_council_tax'!$A$4:$A$10,0),1)</f>
        <v>17002958</v>
      </c>
      <c r="E19" s="53">
        <f>'Table_6a_-_council_tax'!$I$4</f>
        <v>44981384</v>
      </c>
      <c r="F19" s="54">
        <f>INDEX('Table_6b-non_domestic_rates'!$I$4:$I$306,MATCH($A$9,'Table_6b-non_domestic_rates'!$C$4:$C$306,0),1)</f>
        <v>21840</v>
      </c>
      <c r="G19" s="54">
        <f>INDEX('Table_6b-non_domestic_rates'!$I$4:$I$10,MATCH($A$11,'Table_6b-non_domestic_rates'!$A$4:$A$10,0),1)</f>
        <v>8178635</v>
      </c>
      <c r="H19" s="54">
        <f>'Table_6b-non_domestic_rates'!$I$4</f>
        <v>29019251</v>
      </c>
    </row>
    <row r="20" spans="1:8" ht="60" customHeight="1" x14ac:dyDescent="0.15">
      <c r="A20" s="51">
        <v>4</v>
      </c>
      <c r="B20" s="52" t="s">
        <v>105</v>
      </c>
      <c r="C20" s="55">
        <f>INDEX('Table_6a_-_council_tax'!$J$4:$J$306,MATCH($A$9,'Table_6a_-_council_tax'!$C$4:$C$306,0),1)</f>
        <v>52046</v>
      </c>
      <c r="D20" s="56">
        <f>INDEX('Table_6a_-_council_tax'!$J$4:$J$10,MATCH($A$11,'Table_6a_-_council_tax'!$A$4:$A$10,0),1)</f>
        <v>16496623</v>
      </c>
      <c r="E20" s="56">
        <f>'Table_6a_-_council_tax'!$J$4</f>
        <v>43002543</v>
      </c>
      <c r="F20" s="55">
        <f>INDEX('Table_6b-non_domestic_rates'!$J$4:$J$306,MATCH($A$9,'Table_6b-non_domestic_rates'!$C$4:$C$306,0),1)</f>
        <v>21433</v>
      </c>
      <c r="G20" s="53">
        <f>INDEX('Table_6b-non_domestic_rates'!$J$4:$J$10,MATCH($A$11,'Table_6b-non_domestic_rates'!$A$4:$A$10,0),1)</f>
        <v>7959782</v>
      </c>
      <c r="H20" s="53">
        <f>'Table_6b-non_domestic_rates'!$J$4</f>
        <v>28075373</v>
      </c>
    </row>
    <row r="21" spans="1:8" s="64" customFormat="1" ht="52.5" customHeight="1" x14ac:dyDescent="0.15">
      <c r="A21" s="57">
        <v>5</v>
      </c>
      <c r="B21" s="58" t="s">
        <v>106</v>
      </c>
      <c r="C21" s="59">
        <f>IFERROR(INDEX('Table_6a_-_council_tax'!$K$4:$K$306,MATCH($A$9,'Table_6a_-_council_tax'!$C$4:$C$306,0),1)/100,C20)</f>
        <v>0.95983328000000001</v>
      </c>
      <c r="D21" s="60">
        <f>INDEX('Table_6a_-_council_tax'!$K$4:$K$10,MATCH($A$11,'Table_6a_-_council_tax'!$A$4:$A$10,0),1)/100</f>
        <v>0.97022076000000002</v>
      </c>
      <c r="E21" s="60">
        <f>'Table_6a_-_council_tax'!$K$4/100</f>
        <v>0.95600755000000004</v>
      </c>
      <c r="F21" s="59">
        <f>IFERROR(INDEX('Table_6b-non_domestic_rates'!$K$4:$K$306,MATCH($A$9,'Table_6b-non_domestic_rates'!$C$4:$C$306,0),1)/100,F20)</f>
        <v>0.98136446000000011</v>
      </c>
      <c r="G21" s="60">
        <f>INDEX('Table_6b-non_domestic_rates'!$K$4:$K$10,MATCH($A$11,'Table_6b-non_domestic_rates'!$A$4:$A$10,0),1)/100</f>
        <v>0.97324088000000009</v>
      </c>
      <c r="H21" s="60">
        <f>'Table_6b-non_domestic_rates'!$K$4/100</f>
        <v>0.96747406999999996</v>
      </c>
    </row>
  </sheetData>
  <mergeCells count="1">
    <mergeCell ref="D5:E5"/>
  </mergeCells>
  <printOptions horizontalCentered="1" verticalCentered="1"/>
  <pageMargins left="0.19685039370078702" right="0.19685039370078702" top="0.39370078740157405" bottom="0.39370078740157405" header="0.19685039370078702" footer="0.19685039370078702"/>
  <pageSetup paperSize="0" orientation="landscape" horizontalDpi="0" verticalDpi="0" copies="0"/>
  <headerFooter alignWithMargins="0">
    <oddHeader xml:space="preserve">&amp;C&amp;"Calibri,Regular" OFFICIAL-SENSITIVE - DLUHC USE ONLY&amp;1#
</oddHeader>
    <oddFooter>&amp;C
&amp;1#&amp;"Calibri,Regular"&amp;10 OFFICIAL-SENSITIVE - DLUHC USE ONLY</oddFooter>
  </headerFooter>
  <tableParts count="2">
    <tablePart r:id="rId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89D8730C-6DDB-894B-BD4F-CCEE019F426B}">
          <x14:formula1>
            <xm:f>LA_List!$A$1:$A$296</xm:f>
          </x14:formula1>
          <xm:sqref>A7:B7</xm:sqref>
        </x14:dataValidation>
      </x14:dataValidations>
    </ext>
  </extLst>
</worksheet>
</file>

<file path=xl/worksheets/sheet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74C1A-0F62-2647-9158-AE4C1459D725}">
  <dimension ref="A1:L306"/>
  <sheetViews>
    <sheetView workbookViewId="0"/>
  </sheetViews>
  <sheetFormatPr baseColWidth="10" defaultRowHeight="25" customHeight="1" x14ac:dyDescent="0.2"/>
  <cols>
    <col min="1" max="1" width="56.83203125" style="11" customWidth="1"/>
    <col min="2" max="2" width="32.83203125" style="11" customWidth="1"/>
    <col min="3" max="3" width="23.1640625" style="11" bestFit="1" customWidth="1"/>
    <col min="4" max="4" width="22.6640625" style="11" customWidth="1"/>
    <col min="5" max="5" width="30.1640625" style="11" bestFit="1" customWidth="1"/>
    <col min="6" max="11" width="45.83203125" style="67" customWidth="1"/>
    <col min="12" max="12" width="69.83203125" style="11" bestFit="1" customWidth="1"/>
    <col min="13" max="13" width="10.83203125" style="11" customWidth="1"/>
    <col min="14" max="16384" width="10.83203125" style="11"/>
  </cols>
  <sheetData>
    <row r="1" spans="1:12" s="2" customFormat="1" ht="25" customHeight="1" x14ac:dyDescent="0.2">
      <c r="A1" s="1" t="s">
        <v>31</v>
      </c>
      <c r="F1" s="66"/>
      <c r="G1" s="66"/>
      <c r="H1" s="66"/>
      <c r="I1" s="66"/>
      <c r="J1" s="66"/>
      <c r="K1" s="66"/>
    </row>
    <row r="2" spans="1:12" ht="25" customHeight="1" x14ac:dyDescent="0.2">
      <c r="A2" s="11" t="s">
        <v>107</v>
      </c>
    </row>
    <row r="3" spans="1:12" s="27" customFormat="1" ht="139" customHeight="1" x14ac:dyDescent="0.2">
      <c r="A3" s="16" t="s">
        <v>108</v>
      </c>
      <c r="B3" s="16" t="s">
        <v>109</v>
      </c>
      <c r="C3" s="16" t="s">
        <v>86</v>
      </c>
      <c r="D3" s="16" t="s">
        <v>88</v>
      </c>
      <c r="E3" s="16" t="s">
        <v>110</v>
      </c>
      <c r="F3" s="68" t="s">
        <v>111</v>
      </c>
      <c r="G3" s="68" t="s">
        <v>112</v>
      </c>
      <c r="H3" s="68" t="s">
        <v>113</v>
      </c>
      <c r="I3" s="68" t="s">
        <v>114</v>
      </c>
      <c r="J3" s="68" t="s">
        <v>115</v>
      </c>
      <c r="K3" s="68" t="s">
        <v>116</v>
      </c>
      <c r="L3" s="69" t="s">
        <v>26</v>
      </c>
    </row>
    <row r="4" spans="1:12" s="13" customFormat="1" ht="25" customHeight="1" x14ac:dyDescent="0.2">
      <c r="A4" s="13" t="s">
        <v>46</v>
      </c>
      <c r="B4" s="13" t="s">
        <v>117</v>
      </c>
      <c r="C4" s="13" t="s">
        <v>118</v>
      </c>
      <c r="D4" s="13" t="s">
        <v>45</v>
      </c>
      <c r="E4" s="13" t="s">
        <v>118</v>
      </c>
      <c r="F4" s="70">
        <v>42014522</v>
      </c>
      <c r="G4" s="70">
        <v>40281988</v>
      </c>
      <c r="H4" s="71">
        <v>95.876344000000003</v>
      </c>
      <c r="I4" s="70">
        <v>44981384</v>
      </c>
      <c r="J4" s="70">
        <v>43002543</v>
      </c>
      <c r="K4" s="71">
        <v>95.600755000000007</v>
      </c>
      <c r="L4" s="72" t="s">
        <v>39</v>
      </c>
    </row>
    <row r="5" spans="1:12" s="13" customFormat="1" ht="25" customHeight="1" x14ac:dyDescent="0.2">
      <c r="A5" s="13" t="s">
        <v>119</v>
      </c>
      <c r="B5" s="13" t="s">
        <v>120</v>
      </c>
      <c r="C5" s="19" t="s">
        <v>118</v>
      </c>
      <c r="D5" s="13" t="s">
        <v>67</v>
      </c>
      <c r="E5" s="13" t="s">
        <v>118</v>
      </c>
      <c r="F5" s="70">
        <v>6139837</v>
      </c>
      <c r="G5" s="70">
        <v>5820444</v>
      </c>
      <c r="H5" s="71">
        <v>94.798021000000006</v>
      </c>
      <c r="I5" s="70">
        <v>6587079</v>
      </c>
      <c r="J5" s="70">
        <v>6213685</v>
      </c>
      <c r="K5" s="71">
        <v>94.331417000000002</v>
      </c>
      <c r="L5" s="72" t="s">
        <v>39</v>
      </c>
    </row>
    <row r="6" spans="1:12" s="13" customFormat="1" ht="25" customHeight="1" x14ac:dyDescent="0.2">
      <c r="A6" s="13" t="s">
        <v>121</v>
      </c>
      <c r="B6" s="13" t="s">
        <v>122</v>
      </c>
      <c r="C6" s="19" t="s">
        <v>118</v>
      </c>
      <c r="D6" s="13" t="s">
        <v>69</v>
      </c>
      <c r="E6" s="13" t="s">
        <v>118</v>
      </c>
      <c r="F6" s="70">
        <v>2052565</v>
      </c>
      <c r="G6" s="70">
        <v>1926173</v>
      </c>
      <c r="H6" s="71">
        <v>93.842240000000004</v>
      </c>
      <c r="I6" s="70">
        <v>2221320</v>
      </c>
      <c r="J6" s="70">
        <v>2066385</v>
      </c>
      <c r="K6" s="71">
        <v>93.025092999999998</v>
      </c>
      <c r="L6" s="72" t="s">
        <v>39</v>
      </c>
    </row>
    <row r="7" spans="1:12" s="13" customFormat="1" ht="25" customHeight="1" x14ac:dyDescent="0.2">
      <c r="A7" s="13" t="s">
        <v>123</v>
      </c>
      <c r="B7" s="13" t="s">
        <v>124</v>
      </c>
      <c r="C7" s="19" t="s">
        <v>118</v>
      </c>
      <c r="D7" s="13" t="s">
        <v>71</v>
      </c>
      <c r="E7" s="13" t="s">
        <v>118</v>
      </c>
      <c r="F7" s="70">
        <v>4087272</v>
      </c>
      <c r="G7" s="70">
        <v>3894271</v>
      </c>
      <c r="H7" s="71">
        <v>95.277998999999994</v>
      </c>
      <c r="I7" s="70">
        <v>4365759</v>
      </c>
      <c r="J7" s="70">
        <v>4147300</v>
      </c>
      <c r="K7" s="71">
        <v>94.996082000000001</v>
      </c>
      <c r="L7" s="31"/>
    </row>
    <row r="8" spans="1:12" s="13" customFormat="1" ht="25" customHeight="1" x14ac:dyDescent="0.2">
      <c r="A8" s="13" t="s">
        <v>125</v>
      </c>
      <c r="B8" s="13" t="s">
        <v>126</v>
      </c>
      <c r="C8" s="19" t="s">
        <v>118</v>
      </c>
      <c r="D8" s="13" t="s">
        <v>73</v>
      </c>
      <c r="E8" s="13" t="s">
        <v>118</v>
      </c>
      <c r="F8" s="70">
        <v>7355746</v>
      </c>
      <c r="G8" s="70">
        <v>6885514</v>
      </c>
      <c r="H8" s="71">
        <v>93.607281999999998</v>
      </c>
      <c r="I8" s="70">
        <v>7888750</v>
      </c>
      <c r="J8" s="70">
        <v>7362674</v>
      </c>
      <c r="K8" s="71">
        <v>93.331312999999994</v>
      </c>
      <c r="L8" s="31"/>
    </row>
    <row r="9" spans="1:12" s="13" customFormat="1" ht="25" customHeight="1" x14ac:dyDescent="0.2">
      <c r="A9" s="13" t="s">
        <v>127</v>
      </c>
      <c r="B9" s="13" t="s">
        <v>128</v>
      </c>
      <c r="C9" s="19" t="s">
        <v>118</v>
      </c>
      <c r="D9" s="13" t="s">
        <v>75</v>
      </c>
      <c r="E9" s="13" t="s">
        <v>118</v>
      </c>
      <c r="F9" s="70">
        <v>12556833</v>
      </c>
      <c r="G9" s="70">
        <v>12060534</v>
      </c>
      <c r="H9" s="71">
        <v>96.047577000000004</v>
      </c>
      <c r="I9" s="70">
        <v>13502597</v>
      </c>
      <c r="J9" s="70">
        <v>12929561</v>
      </c>
      <c r="K9" s="71">
        <v>95.756105000000005</v>
      </c>
      <c r="L9" s="31"/>
    </row>
    <row r="10" spans="1:12" s="13" customFormat="1" ht="25" customHeight="1" x14ac:dyDescent="0.2">
      <c r="A10" s="13" t="s">
        <v>89</v>
      </c>
      <c r="B10" s="13" t="s">
        <v>129</v>
      </c>
      <c r="C10" s="19" t="s">
        <v>118</v>
      </c>
      <c r="D10" s="13" t="s">
        <v>77</v>
      </c>
      <c r="E10" s="13" t="s">
        <v>118</v>
      </c>
      <c r="F10" s="70">
        <v>15962106</v>
      </c>
      <c r="G10" s="70">
        <v>15515496</v>
      </c>
      <c r="H10" s="71">
        <v>97.202061</v>
      </c>
      <c r="I10" s="70">
        <v>17002958</v>
      </c>
      <c r="J10" s="70">
        <v>16496623</v>
      </c>
      <c r="K10" s="71">
        <v>97.022075999999998</v>
      </c>
      <c r="L10" s="31"/>
    </row>
    <row r="11" spans="1:12" ht="25" customHeight="1" x14ac:dyDescent="0.2">
      <c r="A11" s="11" t="s">
        <v>85</v>
      </c>
      <c r="B11" s="11" t="s">
        <v>130</v>
      </c>
      <c r="C11" s="11" t="s">
        <v>87</v>
      </c>
      <c r="D11" s="11" t="s">
        <v>77</v>
      </c>
      <c r="E11" s="11" t="s">
        <v>59</v>
      </c>
      <c r="F11" s="73">
        <v>51048</v>
      </c>
      <c r="G11" s="73">
        <v>49232</v>
      </c>
      <c r="H11" s="74">
        <v>96.44256</v>
      </c>
      <c r="I11" s="75">
        <v>54224</v>
      </c>
      <c r="J11" s="75">
        <v>52046</v>
      </c>
      <c r="K11" s="76">
        <v>95.983328</v>
      </c>
      <c r="L11" s="31"/>
    </row>
    <row r="12" spans="1:12" ht="25" customHeight="1" x14ac:dyDescent="0.2">
      <c r="A12" s="11" t="s">
        <v>131</v>
      </c>
      <c r="B12" s="11" t="s">
        <v>132</v>
      </c>
      <c r="C12" s="11" t="s">
        <v>133</v>
      </c>
      <c r="D12" s="11" t="s">
        <v>77</v>
      </c>
      <c r="E12" s="11" t="s">
        <v>53</v>
      </c>
      <c r="F12" s="73">
        <v>92500</v>
      </c>
      <c r="G12" s="73">
        <v>91206</v>
      </c>
      <c r="H12" s="74">
        <v>98.601079999999996</v>
      </c>
      <c r="I12" s="75">
        <v>98231</v>
      </c>
      <c r="J12" s="75">
        <v>96719</v>
      </c>
      <c r="K12" s="76">
        <v>98.460770999999994</v>
      </c>
      <c r="L12" s="31"/>
    </row>
    <row r="13" spans="1:12" ht="25" customHeight="1" x14ac:dyDescent="0.2">
      <c r="A13" s="11" t="s">
        <v>134</v>
      </c>
      <c r="B13" s="11" t="s">
        <v>135</v>
      </c>
      <c r="C13" s="11" t="s">
        <v>136</v>
      </c>
      <c r="D13" s="11" t="s">
        <v>77</v>
      </c>
      <c r="E13" s="11" t="s">
        <v>59</v>
      </c>
      <c r="F13" s="73">
        <v>148627</v>
      </c>
      <c r="G13" s="73">
        <v>143947</v>
      </c>
      <c r="H13" s="74">
        <v>96.851179999999999</v>
      </c>
      <c r="I13" s="75">
        <v>161375</v>
      </c>
      <c r="J13" s="75">
        <v>155530</v>
      </c>
      <c r="K13" s="76">
        <v>96.378000999999998</v>
      </c>
      <c r="L13" s="31"/>
    </row>
    <row r="14" spans="1:12" ht="25" customHeight="1" x14ac:dyDescent="0.2">
      <c r="A14" s="11" t="s">
        <v>137</v>
      </c>
      <c r="B14" s="11" t="s">
        <v>138</v>
      </c>
      <c r="C14" s="11" t="s">
        <v>139</v>
      </c>
      <c r="D14" s="11" t="s">
        <v>77</v>
      </c>
      <c r="E14" s="11" t="s">
        <v>53</v>
      </c>
      <c r="F14" s="73">
        <v>84349</v>
      </c>
      <c r="G14" s="73">
        <v>81146</v>
      </c>
      <c r="H14" s="74">
        <v>96.202680000000001</v>
      </c>
      <c r="I14" s="75">
        <v>89122</v>
      </c>
      <c r="J14" s="75">
        <v>85628</v>
      </c>
      <c r="K14" s="76">
        <v>96.079531000000003</v>
      </c>
      <c r="L14" s="31"/>
    </row>
    <row r="15" spans="1:12" ht="25" customHeight="1" x14ac:dyDescent="0.2">
      <c r="A15" s="11" t="s">
        <v>140</v>
      </c>
      <c r="B15" s="11" t="s">
        <v>141</v>
      </c>
      <c r="C15" s="11" t="s">
        <v>142</v>
      </c>
      <c r="D15" s="11" t="s">
        <v>77</v>
      </c>
      <c r="E15" s="11" t="s">
        <v>59</v>
      </c>
      <c r="F15" s="73">
        <v>110874</v>
      </c>
      <c r="G15" s="73">
        <v>107451</v>
      </c>
      <c r="H15" s="74">
        <v>96.912710000000004</v>
      </c>
      <c r="I15" s="75">
        <v>117979</v>
      </c>
      <c r="J15" s="75">
        <v>113993</v>
      </c>
      <c r="K15" s="76">
        <v>96.621431999999999</v>
      </c>
      <c r="L15" s="31"/>
    </row>
    <row r="16" spans="1:12" ht="25" customHeight="1" x14ac:dyDescent="0.2">
      <c r="A16" s="11" t="s">
        <v>143</v>
      </c>
      <c r="B16" s="11" t="s">
        <v>144</v>
      </c>
      <c r="C16" s="11" t="s">
        <v>145</v>
      </c>
      <c r="D16" s="11" t="s">
        <v>77</v>
      </c>
      <c r="E16" s="11" t="s">
        <v>55</v>
      </c>
      <c r="F16" s="73">
        <v>77364</v>
      </c>
      <c r="G16" s="73">
        <v>76678</v>
      </c>
      <c r="H16" s="74">
        <v>99.113280000000003</v>
      </c>
      <c r="I16" s="75">
        <v>82318</v>
      </c>
      <c r="J16" s="75">
        <v>80889</v>
      </c>
      <c r="K16" s="76">
        <v>98.264049</v>
      </c>
      <c r="L16" s="31"/>
    </row>
    <row r="17" spans="1:12" ht="25" customHeight="1" x14ac:dyDescent="0.2">
      <c r="A17" s="11" t="s">
        <v>146</v>
      </c>
      <c r="B17" s="11" t="s">
        <v>147</v>
      </c>
      <c r="C17" s="11" t="s">
        <v>148</v>
      </c>
      <c r="D17" s="11" t="s">
        <v>71</v>
      </c>
      <c r="E17" s="11" t="s">
        <v>65</v>
      </c>
      <c r="F17" s="73">
        <v>112450</v>
      </c>
      <c r="G17" s="73">
        <v>104247</v>
      </c>
      <c r="H17" s="74">
        <v>92.705200000000005</v>
      </c>
      <c r="I17" s="75">
        <v>123194</v>
      </c>
      <c r="J17" s="75">
        <v>113776</v>
      </c>
      <c r="K17" s="76">
        <v>92.355147000000002</v>
      </c>
      <c r="L17" s="31"/>
    </row>
    <row r="18" spans="1:12" ht="25" customHeight="1" x14ac:dyDescent="0.2">
      <c r="A18" s="11" t="s">
        <v>149</v>
      </c>
      <c r="B18" s="11" t="s">
        <v>150</v>
      </c>
      <c r="C18" s="11" t="s">
        <v>151</v>
      </c>
      <c r="D18" s="11" t="s">
        <v>71</v>
      </c>
      <c r="E18" s="11" t="s">
        <v>65</v>
      </c>
      <c r="F18" s="73">
        <v>301759</v>
      </c>
      <c r="G18" s="73">
        <v>283698</v>
      </c>
      <c r="H18" s="74">
        <v>94.014759999999995</v>
      </c>
      <c r="I18" s="75">
        <v>326962</v>
      </c>
      <c r="J18" s="75">
        <v>303530</v>
      </c>
      <c r="K18" s="76">
        <v>92.833416999999997</v>
      </c>
      <c r="L18" s="31"/>
    </row>
    <row r="19" spans="1:12" ht="25" customHeight="1" x14ac:dyDescent="0.2">
      <c r="A19" s="11" t="s">
        <v>152</v>
      </c>
      <c r="B19" s="11" t="s">
        <v>153</v>
      </c>
      <c r="C19" s="11" t="s">
        <v>154</v>
      </c>
      <c r="D19" s="11" t="s">
        <v>73</v>
      </c>
      <c r="E19" s="11" t="s">
        <v>61</v>
      </c>
      <c r="F19" s="73">
        <v>147694</v>
      </c>
      <c r="G19" s="73">
        <v>142477</v>
      </c>
      <c r="H19" s="74">
        <v>96.467699999999994</v>
      </c>
      <c r="I19" s="75">
        <v>157820</v>
      </c>
      <c r="J19" s="75">
        <v>151781</v>
      </c>
      <c r="K19" s="76">
        <v>96.173488000000006</v>
      </c>
      <c r="L19" s="31"/>
    </row>
    <row r="20" spans="1:12" ht="25" customHeight="1" x14ac:dyDescent="0.2">
      <c r="A20" s="11" t="s">
        <v>155</v>
      </c>
      <c r="B20" s="11" t="s">
        <v>156</v>
      </c>
      <c r="C20" s="11" t="s">
        <v>157</v>
      </c>
      <c r="D20" s="11" t="s">
        <v>77</v>
      </c>
      <c r="E20" s="11" t="s">
        <v>55</v>
      </c>
      <c r="F20" s="73">
        <v>135643</v>
      </c>
      <c r="G20" s="73">
        <v>131053</v>
      </c>
      <c r="H20" s="74">
        <v>96.616119999999995</v>
      </c>
      <c r="I20" s="75">
        <v>142012</v>
      </c>
      <c r="J20" s="75">
        <v>136792</v>
      </c>
      <c r="K20" s="76">
        <v>96.324253999999996</v>
      </c>
      <c r="L20" s="31"/>
    </row>
    <row r="21" spans="1:12" ht="25" customHeight="1" x14ac:dyDescent="0.2">
      <c r="A21" s="11" t="s">
        <v>158</v>
      </c>
      <c r="B21" s="11" t="s">
        <v>159</v>
      </c>
      <c r="C21" s="11" t="s">
        <v>160</v>
      </c>
      <c r="D21" s="11" t="s">
        <v>77</v>
      </c>
      <c r="E21" s="11" t="s">
        <v>59</v>
      </c>
      <c r="F21" s="73">
        <v>144859</v>
      </c>
      <c r="G21" s="73">
        <v>142004</v>
      </c>
      <c r="H21" s="74">
        <v>98.029120000000006</v>
      </c>
      <c r="I21" s="75">
        <v>153374</v>
      </c>
      <c r="J21" s="75">
        <v>150567</v>
      </c>
      <c r="K21" s="76">
        <v>98.169832999999997</v>
      </c>
      <c r="L21" s="31"/>
    </row>
    <row r="22" spans="1:12" ht="25" customHeight="1" x14ac:dyDescent="0.2">
      <c r="A22" s="11" t="s">
        <v>161</v>
      </c>
      <c r="B22" s="11" t="s">
        <v>162</v>
      </c>
      <c r="C22" s="11" t="s">
        <v>163</v>
      </c>
      <c r="D22" s="11" t="s">
        <v>77</v>
      </c>
      <c r="E22" s="11" t="s">
        <v>53</v>
      </c>
      <c r="F22" s="73">
        <v>94369</v>
      </c>
      <c r="G22" s="73">
        <v>89861</v>
      </c>
      <c r="H22" s="74">
        <v>95.223010000000002</v>
      </c>
      <c r="I22" s="75">
        <v>100018</v>
      </c>
      <c r="J22" s="75">
        <v>94671</v>
      </c>
      <c r="K22" s="76">
        <v>94.653962000000007</v>
      </c>
      <c r="L22" s="31"/>
    </row>
    <row r="23" spans="1:12" ht="25" customHeight="1" x14ac:dyDescent="0.2">
      <c r="A23" s="11" t="s">
        <v>164</v>
      </c>
      <c r="B23" s="11" t="s">
        <v>165</v>
      </c>
      <c r="C23" s="11" t="s">
        <v>166</v>
      </c>
      <c r="D23" s="11" t="s">
        <v>75</v>
      </c>
      <c r="E23" s="11" t="s">
        <v>57</v>
      </c>
      <c r="F23" s="73">
        <v>150059</v>
      </c>
      <c r="G23" s="73">
        <v>145094</v>
      </c>
      <c r="H23" s="74">
        <v>96.691299999999998</v>
      </c>
      <c r="I23" s="75">
        <v>161435</v>
      </c>
      <c r="J23" s="75">
        <v>155859</v>
      </c>
      <c r="K23" s="76">
        <v>96.545978000000005</v>
      </c>
      <c r="L23" s="31"/>
    </row>
    <row r="24" spans="1:12" ht="25" customHeight="1" x14ac:dyDescent="0.2">
      <c r="A24" s="11" t="s">
        <v>167</v>
      </c>
      <c r="B24" s="11" t="s">
        <v>168</v>
      </c>
      <c r="C24" s="11" t="s">
        <v>169</v>
      </c>
      <c r="D24" s="11" t="s">
        <v>75</v>
      </c>
      <c r="E24" s="11" t="s">
        <v>55</v>
      </c>
      <c r="F24" s="73">
        <v>144431</v>
      </c>
      <c r="G24" s="73">
        <v>139394</v>
      </c>
      <c r="H24" s="74">
        <v>96.512519999999995</v>
      </c>
      <c r="I24" s="75">
        <v>154120</v>
      </c>
      <c r="J24" s="75">
        <v>148658</v>
      </c>
      <c r="K24" s="76">
        <v>96.456007999999997</v>
      </c>
      <c r="L24" s="31"/>
    </row>
    <row r="25" spans="1:12" ht="25" customHeight="1" x14ac:dyDescent="0.2">
      <c r="A25" s="11" t="s">
        <v>170</v>
      </c>
      <c r="B25" s="11" t="s">
        <v>171</v>
      </c>
      <c r="C25" s="11" t="s">
        <v>172</v>
      </c>
      <c r="D25" s="11" t="s">
        <v>71</v>
      </c>
      <c r="E25" s="11" t="s">
        <v>65</v>
      </c>
      <c r="F25" s="73">
        <v>185055</v>
      </c>
      <c r="G25" s="73">
        <v>175900</v>
      </c>
      <c r="H25" s="74">
        <v>95.052819999999997</v>
      </c>
      <c r="I25" s="75">
        <v>196056</v>
      </c>
      <c r="J25" s="75">
        <v>185894</v>
      </c>
      <c r="K25" s="76">
        <v>94.816787000000005</v>
      </c>
      <c r="L25" s="31"/>
    </row>
    <row r="26" spans="1:12" ht="25" customHeight="1" x14ac:dyDescent="0.2">
      <c r="A26" s="11" t="s">
        <v>173</v>
      </c>
      <c r="B26" s="11" t="s">
        <v>174</v>
      </c>
      <c r="C26" s="11" t="s">
        <v>175</v>
      </c>
      <c r="D26" s="11" t="s">
        <v>73</v>
      </c>
      <c r="E26" s="11" t="s">
        <v>63</v>
      </c>
      <c r="F26" s="73">
        <v>576583</v>
      </c>
      <c r="G26" s="73">
        <v>524712</v>
      </c>
      <c r="H26" s="74">
        <v>91.003720000000001</v>
      </c>
      <c r="I26" s="75">
        <v>629022</v>
      </c>
      <c r="J26" s="75">
        <v>566351</v>
      </c>
      <c r="K26" s="76">
        <v>90.036754999999999</v>
      </c>
      <c r="L26" s="31"/>
    </row>
    <row r="27" spans="1:12" ht="25" customHeight="1" x14ac:dyDescent="0.2">
      <c r="A27" s="11" t="s">
        <v>176</v>
      </c>
      <c r="B27" s="11" t="s">
        <v>177</v>
      </c>
      <c r="C27" s="11" t="s">
        <v>178</v>
      </c>
      <c r="D27" s="11" t="s">
        <v>77</v>
      </c>
      <c r="E27" s="11" t="s">
        <v>53</v>
      </c>
      <c r="F27" s="73">
        <v>79842</v>
      </c>
      <c r="G27" s="73">
        <v>77713</v>
      </c>
      <c r="H27" s="74">
        <v>97.333479999999994</v>
      </c>
      <c r="I27" s="75">
        <v>83967</v>
      </c>
      <c r="J27" s="75">
        <v>81767</v>
      </c>
      <c r="K27" s="76">
        <v>97.379923000000005</v>
      </c>
      <c r="L27" s="31"/>
    </row>
    <row r="28" spans="1:12" ht="25" customHeight="1" x14ac:dyDescent="0.2">
      <c r="A28" s="11" t="s">
        <v>179</v>
      </c>
      <c r="B28" s="11" t="s">
        <v>180</v>
      </c>
      <c r="C28" s="11" t="s">
        <v>181</v>
      </c>
      <c r="D28" s="11" t="s">
        <v>75</v>
      </c>
      <c r="E28" s="11" t="s">
        <v>49</v>
      </c>
      <c r="F28" s="73">
        <v>86832</v>
      </c>
      <c r="G28" s="73">
        <v>82682</v>
      </c>
      <c r="H28" s="74">
        <v>95.220659999999995</v>
      </c>
      <c r="I28" s="75">
        <v>92831</v>
      </c>
      <c r="J28" s="75">
        <v>88426</v>
      </c>
      <c r="K28" s="76">
        <v>95.254817000000003</v>
      </c>
      <c r="L28" s="31"/>
    </row>
    <row r="29" spans="1:12" ht="25" customHeight="1" x14ac:dyDescent="0.2">
      <c r="A29" s="11" t="s">
        <v>182</v>
      </c>
      <c r="B29" s="11" t="s">
        <v>183</v>
      </c>
      <c r="C29" s="11" t="s">
        <v>184</v>
      </c>
      <c r="D29" s="11" t="s">
        <v>75</v>
      </c>
      <c r="E29" s="11" t="s">
        <v>49</v>
      </c>
      <c r="F29" s="73">
        <v>93224</v>
      </c>
      <c r="G29" s="73">
        <v>83631</v>
      </c>
      <c r="H29" s="74">
        <v>89.709729999999993</v>
      </c>
      <c r="I29" s="75">
        <v>99075</v>
      </c>
      <c r="J29" s="75">
        <v>89168</v>
      </c>
      <c r="K29" s="76">
        <v>90.000504000000006</v>
      </c>
      <c r="L29" s="31"/>
    </row>
    <row r="30" spans="1:12" ht="25" customHeight="1" x14ac:dyDescent="0.2">
      <c r="A30" s="11" t="s">
        <v>185</v>
      </c>
      <c r="B30" s="11" t="s">
        <v>186</v>
      </c>
      <c r="C30" s="11" t="s">
        <v>187</v>
      </c>
      <c r="D30" s="11" t="s">
        <v>77</v>
      </c>
      <c r="E30" s="11" t="s">
        <v>53</v>
      </c>
      <c r="F30" s="73">
        <v>54765</v>
      </c>
      <c r="G30" s="73">
        <v>53037</v>
      </c>
      <c r="H30" s="74">
        <v>96.844700000000003</v>
      </c>
      <c r="I30" s="75">
        <v>58277</v>
      </c>
      <c r="J30" s="75">
        <v>56571</v>
      </c>
      <c r="K30" s="76">
        <v>97.072601000000006</v>
      </c>
      <c r="L30" s="31"/>
    </row>
    <row r="31" spans="1:12" ht="25" customHeight="1" x14ac:dyDescent="0.2">
      <c r="A31" s="11" t="s">
        <v>188</v>
      </c>
      <c r="B31" s="11" t="s">
        <v>189</v>
      </c>
      <c r="C31" s="11" t="s">
        <v>190</v>
      </c>
      <c r="D31" s="11" t="s">
        <v>73</v>
      </c>
      <c r="E31" s="11" t="s">
        <v>49</v>
      </c>
      <c r="F31" s="73">
        <v>175879</v>
      </c>
      <c r="G31" s="73">
        <v>165196</v>
      </c>
      <c r="H31" s="74">
        <v>93.925939999999997</v>
      </c>
      <c r="I31" s="75">
        <v>188416</v>
      </c>
      <c r="J31" s="75">
        <v>176559</v>
      </c>
      <c r="K31" s="76">
        <v>93.707009999999997</v>
      </c>
      <c r="L31" s="31"/>
    </row>
    <row r="32" spans="1:12" ht="25" customHeight="1" x14ac:dyDescent="0.2">
      <c r="A32" s="11" t="s">
        <v>191</v>
      </c>
      <c r="B32" s="11" t="s">
        <v>192</v>
      </c>
      <c r="C32" s="11" t="s">
        <v>193</v>
      </c>
      <c r="D32" s="11" t="s">
        <v>77</v>
      </c>
      <c r="E32" s="11" t="s">
        <v>53</v>
      </c>
      <c r="F32" s="73">
        <v>44689</v>
      </c>
      <c r="G32" s="73">
        <v>41902</v>
      </c>
      <c r="H32" s="74">
        <v>93.763570000000001</v>
      </c>
      <c r="I32" s="75">
        <v>46412</v>
      </c>
      <c r="J32" s="75">
        <v>43476</v>
      </c>
      <c r="K32" s="76">
        <v>93.674048999999997</v>
      </c>
      <c r="L32" s="31"/>
    </row>
    <row r="33" spans="1:12" ht="25" customHeight="1" x14ac:dyDescent="0.2">
      <c r="A33" s="11" t="s">
        <v>194</v>
      </c>
      <c r="B33" s="11" t="s">
        <v>195</v>
      </c>
      <c r="C33" s="11" t="s">
        <v>196</v>
      </c>
      <c r="D33" s="11" t="s">
        <v>75</v>
      </c>
      <c r="E33" s="11" t="s">
        <v>57</v>
      </c>
      <c r="F33" s="73">
        <v>318576</v>
      </c>
      <c r="G33" s="73">
        <v>303710</v>
      </c>
      <c r="H33" s="74">
        <v>95.333609999999993</v>
      </c>
      <c r="I33" s="75">
        <v>346314</v>
      </c>
      <c r="J33" s="75">
        <v>328218</v>
      </c>
      <c r="K33" s="76">
        <v>94.774683999999993</v>
      </c>
      <c r="L33" s="31"/>
    </row>
    <row r="34" spans="1:12" ht="25" customHeight="1" x14ac:dyDescent="0.2">
      <c r="A34" s="11" t="s">
        <v>197</v>
      </c>
      <c r="B34" s="11" t="s">
        <v>198</v>
      </c>
      <c r="C34" s="11" t="s">
        <v>199</v>
      </c>
      <c r="D34" s="11" t="s">
        <v>75</v>
      </c>
      <c r="E34" s="11" t="s">
        <v>59</v>
      </c>
      <c r="F34" s="73">
        <v>101558</v>
      </c>
      <c r="G34" s="73">
        <v>98280</v>
      </c>
      <c r="H34" s="74">
        <v>96.772289999999998</v>
      </c>
      <c r="I34" s="75">
        <v>107567</v>
      </c>
      <c r="J34" s="75">
        <v>104393</v>
      </c>
      <c r="K34" s="76">
        <v>97.049279999999996</v>
      </c>
      <c r="L34" s="31"/>
    </row>
    <row r="35" spans="1:12" ht="25" customHeight="1" x14ac:dyDescent="0.2">
      <c r="A35" s="11" t="s">
        <v>200</v>
      </c>
      <c r="B35" s="11" t="s">
        <v>201</v>
      </c>
      <c r="C35" s="11" t="s">
        <v>202</v>
      </c>
      <c r="D35" s="11" t="s">
        <v>73</v>
      </c>
      <c r="E35" s="11" t="s">
        <v>61</v>
      </c>
      <c r="F35" s="73">
        <v>307956</v>
      </c>
      <c r="G35" s="73">
        <v>289588</v>
      </c>
      <c r="H35" s="74">
        <v>94.035510000000002</v>
      </c>
      <c r="I35" s="75">
        <v>341368</v>
      </c>
      <c r="J35" s="75">
        <v>319318</v>
      </c>
      <c r="K35" s="76">
        <v>93.540694999999999</v>
      </c>
      <c r="L35" s="31"/>
    </row>
    <row r="36" spans="1:12" ht="25" customHeight="1" x14ac:dyDescent="0.2">
      <c r="A36" s="11" t="s">
        <v>203</v>
      </c>
      <c r="B36" s="11" t="s">
        <v>204</v>
      </c>
      <c r="C36" s="11" t="s">
        <v>205</v>
      </c>
      <c r="D36" s="11" t="s">
        <v>77</v>
      </c>
      <c r="E36" s="11" t="s">
        <v>55</v>
      </c>
      <c r="F36" s="73">
        <v>124548</v>
      </c>
      <c r="G36" s="73">
        <v>121497</v>
      </c>
      <c r="H36" s="74">
        <v>97.550340000000006</v>
      </c>
      <c r="I36" s="75">
        <v>131166</v>
      </c>
      <c r="J36" s="75">
        <v>127721</v>
      </c>
      <c r="K36" s="76">
        <v>97.373557000000005</v>
      </c>
      <c r="L36" s="31"/>
    </row>
    <row r="37" spans="1:12" ht="25" customHeight="1" x14ac:dyDescent="0.2">
      <c r="A37" s="11" t="s">
        <v>206</v>
      </c>
      <c r="B37" s="11" t="s">
        <v>207</v>
      </c>
      <c r="C37" s="11" t="s">
        <v>208</v>
      </c>
      <c r="D37" s="11" t="s">
        <v>77</v>
      </c>
      <c r="E37" s="11" t="s">
        <v>55</v>
      </c>
      <c r="F37" s="73">
        <v>105405</v>
      </c>
      <c r="G37" s="73">
        <v>102465</v>
      </c>
      <c r="H37" s="74">
        <v>97.210759999999993</v>
      </c>
      <c r="I37" s="75">
        <v>112029</v>
      </c>
      <c r="J37" s="75">
        <v>108588</v>
      </c>
      <c r="K37" s="76">
        <v>96.928472999999997</v>
      </c>
      <c r="L37" s="31"/>
    </row>
    <row r="38" spans="1:12" ht="25" customHeight="1" x14ac:dyDescent="0.2">
      <c r="A38" s="11" t="s">
        <v>209</v>
      </c>
      <c r="B38" s="11" t="s">
        <v>210</v>
      </c>
      <c r="C38" s="11" t="s">
        <v>211</v>
      </c>
      <c r="D38" s="11" t="s">
        <v>71</v>
      </c>
      <c r="E38" s="11" t="s">
        <v>65</v>
      </c>
      <c r="F38" s="73">
        <v>216415</v>
      </c>
      <c r="G38" s="73">
        <v>199141</v>
      </c>
      <c r="H38" s="74">
        <v>92.018109999999993</v>
      </c>
      <c r="I38" s="75">
        <v>238272</v>
      </c>
      <c r="J38" s="75">
        <v>218321</v>
      </c>
      <c r="K38" s="76">
        <v>91.626795999999999</v>
      </c>
      <c r="L38" s="31"/>
    </row>
    <row r="39" spans="1:12" ht="25" customHeight="1" x14ac:dyDescent="0.2">
      <c r="A39" s="11" t="s">
        <v>212</v>
      </c>
      <c r="B39" s="11" t="s">
        <v>213</v>
      </c>
      <c r="C39" s="11" t="s">
        <v>214</v>
      </c>
      <c r="D39" s="11" t="s">
        <v>77</v>
      </c>
      <c r="E39" s="11" t="s">
        <v>55</v>
      </c>
      <c r="F39" s="73">
        <v>72912</v>
      </c>
      <c r="G39" s="73">
        <v>71248</v>
      </c>
      <c r="H39" s="74">
        <v>97.717799999999997</v>
      </c>
      <c r="I39" s="75">
        <v>76417</v>
      </c>
      <c r="J39" s="75">
        <v>74381</v>
      </c>
      <c r="K39" s="76">
        <v>97.335671000000005</v>
      </c>
      <c r="L39" s="31"/>
    </row>
    <row r="40" spans="1:12" ht="25" customHeight="1" x14ac:dyDescent="0.2">
      <c r="A40" s="11" t="s">
        <v>215</v>
      </c>
      <c r="B40" s="11" t="s">
        <v>216</v>
      </c>
      <c r="C40" s="11" t="s">
        <v>217</v>
      </c>
      <c r="D40" s="11" t="s">
        <v>75</v>
      </c>
      <c r="E40" s="11" t="s">
        <v>59</v>
      </c>
      <c r="F40" s="73">
        <v>220861</v>
      </c>
      <c r="G40" s="73">
        <v>209265</v>
      </c>
      <c r="H40" s="74">
        <v>94.749639999999999</v>
      </c>
      <c r="I40" s="75">
        <v>237478</v>
      </c>
      <c r="J40" s="75">
        <v>222006</v>
      </c>
      <c r="K40" s="76">
        <v>93.484870000000001</v>
      </c>
      <c r="L40" s="31"/>
    </row>
    <row r="41" spans="1:12" ht="25" customHeight="1" x14ac:dyDescent="0.2">
      <c r="A41" s="11" t="s">
        <v>218</v>
      </c>
      <c r="B41" s="11" t="s">
        <v>219</v>
      </c>
      <c r="C41" s="11" t="s">
        <v>220</v>
      </c>
      <c r="D41" s="11" t="s">
        <v>75</v>
      </c>
      <c r="E41" s="11" t="s">
        <v>57</v>
      </c>
      <c r="F41" s="73">
        <v>335935</v>
      </c>
      <c r="G41" s="73">
        <v>315799</v>
      </c>
      <c r="H41" s="74">
        <v>94.005979999999994</v>
      </c>
      <c r="I41" s="75">
        <v>358666</v>
      </c>
      <c r="J41" s="75">
        <v>335437</v>
      </c>
      <c r="K41" s="76">
        <v>93.523499999999999</v>
      </c>
      <c r="L41" s="31"/>
    </row>
    <row r="42" spans="1:12" ht="25" customHeight="1" x14ac:dyDescent="0.2">
      <c r="A42" s="11" t="s">
        <v>221</v>
      </c>
      <c r="B42" s="11" t="s">
        <v>222</v>
      </c>
      <c r="C42" s="11" t="s">
        <v>223</v>
      </c>
      <c r="D42" s="11" t="s">
        <v>77</v>
      </c>
      <c r="E42" s="11" t="s">
        <v>55</v>
      </c>
      <c r="F42" s="73">
        <v>109899</v>
      </c>
      <c r="G42" s="73">
        <v>107580</v>
      </c>
      <c r="H42" s="74">
        <v>97.889880000000005</v>
      </c>
      <c r="I42" s="75">
        <v>116399</v>
      </c>
      <c r="J42" s="75">
        <v>114137</v>
      </c>
      <c r="K42" s="76">
        <v>98.056684000000004</v>
      </c>
      <c r="L42" s="31"/>
    </row>
    <row r="43" spans="1:12" ht="25" customHeight="1" x14ac:dyDescent="0.2">
      <c r="A43" s="11" t="s">
        <v>224</v>
      </c>
      <c r="B43" s="11" t="s">
        <v>225</v>
      </c>
      <c r="C43" s="11" t="s">
        <v>226</v>
      </c>
      <c r="D43" s="11" t="s">
        <v>71</v>
      </c>
      <c r="E43" s="11" t="s">
        <v>65</v>
      </c>
      <c r="F43" s="73">
        <v>273562</v>
      </c>
      <c r="G43" s="73">
        <v>265157</v>
      </c>
      <c r="H43" s="74">
        <v>96.927570000000003</v>
      </c>
      <c r="I43" s="75">
        <v>290331</v>
      </c>
      <c r="J43" s="75">
        <v>281018</v>
      </c>
      <c r="K43" s="76">
        <v>96.792281000000003</v>
      </c>
      <c r="L43" s="31"/>
    </row>
    <row r="44" spans="1:12" ht="25" customHeight="1" x14ac:dyDescent="0.2">
      <c r="A44" s="11" t="s">
        <v>227</v>
      </c>
      <c r="B44" s="11" t="s">
        <v>228</v>
      </c>
      <c r="C44" s="11" t="s">
        <v>229</v>
      </c>
      <c r="D44" s="11" t="s">
        <v>77</v>
      </c>
      <c r="E44" s="11" t="s">
        <v>63</v>
      </c>
      <c r="F44" s="73">
        <v>84460</v>
      </c>
      <c r="G44" s="73">
        <v>82594</v>
      </c>
      <c r="H44" s="74">
        <v>97.790670000000006</v>
      </c>
      <c r="I44" s="75">
        <v>88864</v>
      </c>
      <c r="J44" s="75">
        <v>86941</v>
      </c>
      <c r="K44" s="76">
        <v>97.836018999999993</v>
      </c>
      <c r="L44" s="31"/>
    </row>
    <row r="45" spans="1:12" ht="25" customHeight="1" x14ac:dyDescent="0.2">
      <c r="A45" s="11" t="s">
        <v>230</v>
      </c>
      <c r="B45" s="11" t="s">
        <v>231</v>
      </c>
      <c r="C45" s="11" t="s">
        <v>232</v>
      </c>
      <c r="D45" s="11" t="s">
        <v>77</v>
      </c>
      <c r="E45" s="11" t="s">
        <v>55</v>
      </c>
      <c r="F45" s="73">
        <v>78105</v>
      </c>
      <c r="G45" s="73">
        <v>75382</v>
      </c>
      <c r="H45" s="74">
        <v>96.513670000000005</v>
      </c>
      <c r="I45" s="75">
        <v>82654</v>
      </c>
      <c r="J45" s="75">
        <v>80065</v>
      </c>
      <c r="K45" s="76">
        <v>96.867665000000002</v>
      </c>
      <c r="L45" s="31"/>
    </row>
    <row r="46" spans="1:12" ht="25" customHeight="1" x14ac:dyDescent="0.2">
      <c r="A46" s="11" t="s">
        <v>233</v>
      </c>
      <c r="B46" s="11" t="s">
        <v>234</v>
      </c>
      <c r="C46" s="11" t="s">
        <v>235</v>
      </c>
      <c r="D46" s="11" t="s">
        <v>77</v>
      </c>
      <c r="E46" s="11" t="s">
        <v>53</v>
      </c>
      <c r="F46" s="73">
        <v>84958</v>
      </c>
      <c r="G46" s="73">
        <v>82962</v>
      </c>
      <c r="H46" s="74">
        <v>97.650599999999997</v>
      </c>
      <c r="I46" s="75">
        <v>90057</v>
      </c>
      <c r="J46" s="75">
        <v>88049</v>
      </c>
      <c r="K46" s="76">
        <v>97.770301000000003</v>
      </c>
      <c r="L46" s="31"/>
    </row>
    <row r="47" spans="1:12" ht="25" customHeight="1" x14ac:dyDescent="0.2">
      <c r="A47" s="11" t="s">
        <v>236</v>
      </c>
      <c r="B47" s="11" t="s">
        <v>237</v>
      </c>
      <c r="C47" s="11" t="s">
        <v>238</v>
      </c>
      <c r="D47" s="11" t="s">
        <v>75</v>
      </c>
      <c r="E47" s="11" t="s">
        <v>59</v>
      </c>
      <c r="F47" s="73">
        <v>535070</v>
      </c>
      <c r="G47" s="73">
        <v>526039</v>
      </c>
      <c r="H47" s="74">
        <v>98.312179999999998</v>
      </c>
      <c r="I47" s="75">
        <v>568996</v>
      </c>
      <c r="J47" s="75">
        <v>558119</v>
      </c>
      <c r="K47" s="76">
        <v>98.088386999999997</v>
      </c>
      <c r="L47" s="31"/>
    </row>
    <row r="48" spans="1:12" ht="25" customHeight="1" x14ac:dyDescent="0.2">
      <c r="A48" s="11" t="s">
        <v>239</v>
      </c>
      <c r="B48" s="11" t="s">
        <v>240</v>
      </c>
      <c r="C48" s="11" t="s">
        <v>241</v>
      </c>
      <c r="D48" s="11" t="s">
        <v>77</v>
      </c>
      <c r="E48" s="11" t="s">
        <v>49</v>
      </c>
      <c r="F48" s="73">
        <v>57216</v>
      </c>
      <c r="G48" s="73">
        <v>53804</v>
      </c>
      <c r="H48" s="74">
        <v>94.036630000000002</v>
      </c>
      <c r="I48" s="75">
        <v>60689</v>
      </c>
      <c r="J48" s="75">
        <v>57102</v>
      </c>
      <c r="K48" s="76">
        <v>94.089538000000005</v>
      </c>
      <c r="L48" s="31"/>
    </row>
    <row r="49" spans="1:12" ht="25" customHeight="1" x14ac:dyDescent="0.2">
      <c r="A49" s="11" t="s">
        <v>242</v>
      </c>
      <c r="B49" s="11" t="s">
        <v>243</v>
      </c>
      <c r="C49" s="11" t="s">
        <v>244</v>
      </c>
      <c r="D49" s="11" t="s">
        <v>73</v>
      </c>
      <c r="E49" s="11" t="s">
        <v>49</v>
      </c>
      <c r="F49" s="73">
        <v>134311</v>
      </c>
      <c r="G49" s="73">
        <v>128392</v>
      </c>
      <c r="H49" s="74">
        <v>95.593059999999994</v>
      </c>
      <c r="I49" s="75">
        <v>142750</v>
      </c>
      <c r="J49" s="75">
        <v>135983</v>
      </c>
      <c r="K49" s="76">
        <v>95.259544000000005</v>
      </c>
      <c r="L49" s="31"/>
    </row>
    <row r="50" spans="1:12" ht="25" customHeight="1" x14ac:dyDescent="0.2">
      <c r="A50" s="11" t="s">
        <v>245</v>
      </c>
      <c r="B50" s="11" t="s">
        <v>246</v>
      </c>
      <c r="C50" s="11" t="s">
        <v>247</v>
      </c>
      <c r="D50" s="11" t="s">
        <v>73</v>
      </c>
      <c r="E50" s="11" t="s">
        <v>61</v>
      </c>
      <c r="F50" s="73">
        <v>142178</v>
      </c>
      <c r="G50" s="73">
        <v>136158</v>
      </c>
      <c r="H50" s="74">
        <v>95.765870000000007</v>
      </c>
      <c r="I50" s="75">
        <v>151639</v>
      </c>
      <c r="J50" s="75">
        <v>144437</v>
      </c>
      <c r="K50" s="76">
        <v>95.250562000000002</v>
      </c>
      <c r="L50" s="31"/>
    </row>
    <row r="51" spans="1:12" ht="25" customHeight="1" x14ac:dyDescent="0.2">
      <c r="A51" s="11" t="s">
        <v>248</v>
      </c>
      <c r="B51" s="11" t="s">
        <v>249</v>
      </c>
      <c r="C51" s="11" t="s">
        <v>250</v>
      </c>
      <c r="D51" s="11" t="s">
        <v>77</v>
      </c>
      <c r="E51" s="11" t="s">
        <v>55</v>
      </c>
      <c r="F51" s="73">
        <v>102361</v>
      </c>
      <c r="G51" s="73">
        <v>101272</v>
      </c>
      <c r="H51" s="74">
        <v>98.936120000000003</v>
      </c>
      <c r="I51" s="75">
        <v>109102</v>
      </c>
      <c r="J51" s="75">
        <v>107018</v>
      </c>
      <c r="K51" s="76">
        <v>98.089860000000002</v>
      </c>
      <c r="L51" s="31"/>
    </row>
    <row r="52" spans="1:12" ht="25" customHeight="1" x14ac:dyDescent="0.2">
      <c r="A52" s="11" t="s">
        <v>251</v>
      </c>
      <c r="B52" s="11" t="s">
        <v>252</v>
      </c>
      <c r="C52" s="11" t="s">
        <v>253</v>
      </c>
      <c r="D52" s="11" t="s">
        <v>69</v>
      </c>
      <c r="E52" s="11" t="s">
        <v>65</v>
      </c>
      <c r="F52" s="73">
        <v>189499</v>
      </c>
      <c r="G52" s="73">
        <v>179824</v>
      </c>
      <c r="H52" s="74">
        <v>94.89443</v>
      </c>
      <c r="I52" s="75">
        <v>209711</v>
      </c>
      <c r="J52" s="75">
        <v>195130</v>
      </c>
      <c r="K52" s="76">
        <v>93.047098000000005</v>
      </c>
      <c r="L52" s="31"/>
    </row>
    <row r="53" spans="1:12" ht="25" customHeight="1" x14ac:dyDescent="0.2">
      <c r="A53" s="11" t="s">
        <v>254</v>
      </c>
      <c r="B53" s="11" t="s">
        <v>255</v>
      </c>
      <c r="C53" s="11" t="s">
        <v>256</v>
      </c>
      <c r="D53" s="11" t="s">
        <v>77</v>
      </c>
      <c r="E53" s="11" t="s">
        <v>63</v>
      </c>
      <c r="F53" s="73">
        <v>66638</v>
      </c>
      <c r="G53" s="73">
        <v>64621</v>
      </c>
      <c r="H53" s="74">
        <v>96.973200000000006</v>
      </c>
      <c r="I53" s="75">
        <v>70074</v>
      </c>
      <c r="J53" s="75">
        <v>67816</v>
      </c>
      <c r="K53" s="76">
        <v>96.777692000000002</v>
      </c>
      <c r="L53" s="31"/>
    </row>
    <row r="54" spans="1:12" ht="25" customHeight="1" x14ac:dyDescent="0.2">
      <c r="A54" s="11" t="s">
        <v>257</v>
      </c>
      <c r="B54" s="11" t="s">
        <v>258</v>
      </c>
      <c r="C54" s="11" t="s">
        <v>259</v>
      </c>
      <c r="D54" s="11" t="s">
        <v>77</v>
      </c>
      <c r="E54" s="11" t="s">
        <v>59</v>
      </c>
      <c r="F54" s="73">
        <v>120885</v>
      </c>
      <c r="G54" s="73">
        <v>116660</v>
      </c>
      <c r="H54" s="74">
        <v>96.504940000000005</v>
      </c>
      <c r="I54" s="75">
        <v>130748</v>
      </c>
      <c r="J54" s="75">
        <v>125409</v>
      </c>
      <c r="K54" s="76">
        <v>95.916572000000002</v>
      </c>
      <c r="L54" s="31"/>
    </row>
    <row r="55" spans="1:12" ht="25" customHeight="1" x14ac:dyDescent="0.2">
      <c r="A55" s="11" t="s">
        <v>260</v>
      </c>
      <c r="B55" s="11" t="s">
        <v>261</v>
      </c>
      <c r="C55" s="11" t="s">
        <v>262</v>
      </c>
      <c r="D55" s="11" t="s">
        <v>77</v>
      </c>
      <c r="E55" s="11" t="s">
        <v>55</v>
      </c>
      <c r="F55" s="73">
        <v>68259</v>
      </c>
      <c r="G55" s="73">
        <v>66472</v>
      </c>
      <c r="H55" s="74">
        <v>97.38203</v>
      </c>
      <c r="I55" s="75">
        <v>70940</v>
      </c>
      <c r="J55" s="75">
        <v>69433</v>
      </c>
      <c r="K55" s="76">
        <v>97.875669000000002</v>
      </c>
      <c r="L55" s="31"/>
    </row>
    <row r="56" spans="1:12" ht="25" customHeight="1" x14ac:dyDescent="0.2">
      <c r="A56" s="11" t="s">
        <v>263</v>
      </c>
      <c r="B56" s="11" t="s">
        <v>264</v>
      </c>
      <c r="C56" s="11" t="s">
        <v>265</v>
      </c>
      <c r="D56" s="11" t="s">
        <v>75</v>
      </c>
      <c r="E56" s="11" t="s">
        <v>55</v>
      </c>
      <c r="F56" s="73">
        <v>256144</v>
      </c>
      <c r="G56" s="73">
        <v>250419</v>
      </c>
      <c r="H56" s="74">
        <v>97.764930000000007</v>
      </c>
      <c r="I56" s="75">
        <v>273771</v>
      </c>
      <c r="J56" s="75">
        <v>266883</v>
      </c>
      <c r="K56" s="76">
        <v>97.484027999999995</v>
      </c>
      <c r="L56" s="31"/>
    </row>
    <row r="57" spans="1:12" ht="25" customHeight="1" x14ac:dyDescent="0.2">
      <c r="A57" s="11" t="s">
        <v>266</v>
      </c>
      <c r="B57" s="11" t="s">
        <v>267</v>
      </c>
      <c r="C57" s="11" t="s">
        <v>268</v>
      </c>
      <c r="D57" s="11" t="s">
        <v>77</v>
      </c>
      <c r="E57" s="11" t="s">
        <v>53</v>
      </c>
      <c r="F57" s="73">
        <v>134104</v>
      </c>
      <c r="G57" s="73">
        <v>129167</v>
      </c>
      <c r="H57" s="74">
        <v>96.318529999999996</v>
      </c>
      <c r="I57" s="75">
        <v>141817</v>
      </c>
      <c r="J57" s="75">
        <v>136148</v>
      </c>
      <c r="K57" s="76">
        <v>96.002594000000002</v>
      </c>
      <c r="L57" s="31"/>
    </row>
    <row r="58" spans="1:12" ht="25" customHeight="1" x14ac:dyDescent="0.2">
      <c r="A58" s="11" t="s">
        <v>269</v>
      </c>
      <c r="B58" s="11" t="s">
        <v>270</v>
      </c>
      <c r="C58" s="11" t="s">
        <v>271</v>
      </c>
      <c r="D58" s="11" t="s">
        <v>77</v>
      </c>
      <c r="E58" s="11" t="s">
        <v>55</v>
      </c>
      <c r="F58" s="73">
        <v>151905</v>
      </c>
      <c r="G58" s="73">
        <v>146883</v>
      </c>
      <c r="H58" s="74">
        <v>96.693989999999999</v>
      </c>
      <c r="I58" s="75">
        <v>160217</v>
      </c>
      <c r="J58" s="75">
        <v>154750</v>
      </c>
      <c r="K58" s="76">
        <v>96.587751999999995</v>
      </c>
      <c r="L58" s="31"/>
    </row>
    <row r="59" spans="1:12" ht="25" customHeight="1" x14ac:dyDescent="0.2">
      <c r="A59" s="11" t="s">
        <v>272</v>
      </c>
      <c r="B59" s="11" t="s">
        <v>273</v>
      </c>
      <c r="C59" s="11" t="s">
        <v>274</v>
      </c>
      <c r="D59" s="11" t="s">
        <v>77</v>
      </c>
      <c r="E59" s="11" t="s">
        <v>57</v>
      </c>
      <c r="F59" s="73">
        <v>95604</v>
      </c>
      <c r="G59" s="73">
        <v>93868</v>
      </c>
      <c r="H59" s="74">
        <v>98.184179999999998</v>
      </c>
      <c r="I59" s="75">
        <v>101946</v>
      </c>
      <c r="J59" s="75">
        <v>99913</v>
      </c>
      <c r="K59" s="76">
        <v>98.005806000000007</v>
      </c>
      <c r="L59" s="31"/>
    </row>
    <row r="60" spans="1:12" ht="25" customHeight="1" x14ac:dyDescent="0.2">
      <c r="A60" s="11" t="s">
        <v>275</v>
      </c>
      <c r="B60" s="11" t="s">
        <v>276</v>
      </c>
      <c r="C60" s="11" t="s">
        <v>277</v>
      </c>
      <c r="D60" s="11" t="s">
        <v>77</v>
      </c>
      <c r="E60" s="11" t="s">
        <v>59</v>
      </c>
      <c r="F60" s="73">
        <v>142121</v>
      </c>
      <c r="G60" s="73">
        <v>139304</v>
      </c>
      <c r="H60" s="74">
        <v>98.017889999999994</v>
      </c>
      <c r="I60" s="75">
        <v>150494</v>
      </c>
      <c r="J60" s="75">
        <v>147193</v>
      </c>
      <c r="K60" s="76">
        <v>97.806556999999998</v>
      </c>
      <c r="L60" s="31"/>
    </row>
    <row r="61" spans="1:12" ht="25" customHeight="1" x14ac:dyDescent="0.2">
      <c r="A61" s="11" t="s">
        <v>278</v>
      </c>
      <c r="B61" s="11" t="s">
        <v>279</v>
      </c>
      <c r="C61" s="11" t="s">
        <v>280</v>
      </c>
      <c r="D61" s="11" t="s">
        <v>75</v>
      </c>
      <c r="E61" s="11" t="s">
        <v>49</v>
      </c>
      <c r="F61" s="73">
        <v>359929</v>
      </c>
      <c r="G61" s="73">
        <v>352041</v>
      </c>
      <c r="H61" s="74">
        <v>97.808459999999997</v>
      </c>
      <c r="I61" s="75">
        <v>386470</v>
      </c>
      <c r="J61" s="75">
        <v>376665</v>
      </c>
      <c r="K61" s="76">
        <v>97.462933000000007</v>
      </c>
      <c r="L61" s="31"/>
    </row>
    <row r="62" spans="1:12" ht="25" customHeight="1" x14ac:dyDescent="0.2">
      <c r="A62" s="11" t="s">
        <v>281</v>
      </c>
      <c r="B62" s="11" t="s">
        <v>282</v>
      </c>
      <c r="C62" s="11" t="s">
        <v>283</v>
      </c>
      <c r="D62" s="11" t="s">
        <v>75</v>
      </c>
      <c r="E62" s="11" t="s">
        <v>49</v>
      </c>
      <c r="F62" s="73">
        <v>298170</v>
      </c>
      <c r="G62" s="73">
        <v>288286</v>
      </c>
      <c r="H62" s="74">
        <v>96.685109999999995</v>
      </c>
      <c r="I62" s="75">
        <v>316257</v>
      </c>
      <c r="J62" s="75">
        <v>306026</v>
      </c>
      <c r="K62" s="76">
        <v>96.764972</v>
      </c>
      <c r="L62" s="31"/>
    </row>
    <row r="63" spans="1:12" ht="25" customHeight="1" x14ac:dyDescent="0.2">
      <c r="A63" s="11" t="s">
        <v>284</v>
      </c>
      <c r="B63" s="11" t="s">
        <v>285</v>
      </c>
      <c r="C63" s="11" t="s">
        <v>286</v>
      </c>
      <c r="D63" s="11" t="s">
        <v>77</v>
      </c>
      <c r="E63" s="11" t="s">
        <v>53</v>
      </c>
      <c r="F63" s="73">
        <v>65774</v>
      </c>
      <c r="G63" s="73">
        <v>63351</v>
      </c>
      <c r="H63" s="74">
        <v>96.31617</v>
      </c>
      <c r="I63" s="75">
        <v>69239</v>
      </c>
      <c r="J63" s="75">
        <v>66661</v>
      </c>
      <c r="K63" s="76">
        <v>96.276663999999997</v>
      </c>
      <c r="L63" s="31"/>
    </row>
    <row r="64" spans="1:12" ht="25" customHeight="1" x14ac:dyDescent="0.2">
      <c r="A64" s="11" t="s">
        <v>287</v>
      </c>
      <c r="B64" s="11" t="s">
        <v>288</v>
      </c>
      <c r="C64" s="11" t="s">
        <v>289</v>
      </c>
      <c r="D64" s="11" t="s">
        <v>77</v>
      </c>
      <c r="E64" s="11" t="s">
        <v>59</v>
      </c>
      <c r="F64" s="73">
        <v>126522</v>
      </c>
      <c r="G64" s="73">
        <v>123241</v>
      </c>
      <c r="H64" s="74">
        <v>97.406779999999998</v>
      </c>
      <c r="I64" s="75">
        <v>139504</v>
      </c>
      <c r="J64" s="75">
        <v>135422</v>
      </c>
      <c r="K64" s="76">
        <v>97.073919000000004</v>
      </c>
      <c r="L64" s="31"/>
    </row>
    <row r="65" spans="1:12" ht="25" customHeight="1" x14ac:dyDescent="0.2">
      <c r="A65" s="11" t="s">
        <v>290</v>
      </c>
      <c r="B65" s="11" t="s">
        <v>291</v>
      </c>
      <c r="C65" s="11" t="s">
        <v>292</v>
      </c>
      <c r="D65" s="11" t="s">
        <v>77</v>
      </c>
      <c r="E65" s="11" t="s">
        <v>49</v>
      </c>
      <c r="F65" s="73">
        <v>87063</v>
      </c>
      <c r="G65" s="73">
        <v>84348</v>
      </c>
      <c r="H65" s="74">
        <v>96.881569999999996</v>
      </c>
      <c r="I65" s="75">
        <v>92311</v>
      </c>
      <c r="J65" s="75">
        <v>89304</v>
      </c>
      <c r="K65" s="76">
        <v>96.742532999999995</v>
      </c>
      <c r="L65" s="31"/>
    </row>
    <row r="66" spans="1:12" ht="25" customHeight="1" x14ac:dyDescent="0.2">
      <c r="A66" s="11" t="s">
        <v>293</v>
      </c>
      <c r="B66" s="11" t="s">
        <v>294</v>
      </c>
      <c r="C66" s="11" t="s">
        <v>295</v>
      </c>
      <c r="D66" s="11" t="s">
        <v>69</v>
      </c>
      <c r="E66" s="11" t="s">
        <v>65</v>
      </c>
      <c r="F66" s="73">
        <v>10745</v>
      </c>
      <c r="G66" s="73">
        <v>10617</v>
      </c>
      <c r="H66" s="74">
        <v>98.808750000000003</v>
      </c>
      <c r="I66" s="75">
        <v>13969</v>
      </c>
      <c r="J66" s="75">
        <v>13702</v>
      </c>
      <c r="K66" s="76">
        <v>98.088623999999996</v>
      </c>
      <c r="L66" s="31"/>
    </row>
    <row r="67" spans="1:12" ht="25" customHeight="1" x14ac:dyDescent="0.2">
      <c r="A67" s="11" t="s">
        <v>296</v>
      </c>
      <c r="B67" s="11" t="s">
        <v>297</v>
      </c>
      <c r="C67" s="11" t="s">
        <v>298</v>
      </c>
      <c r="D67" s="11" t="s">
        <v>77</v>
      </c>
      <c r="E67" s="11" t="s">
        <v>55</v>
      </c>
      <c r="F67" s="73">
        <v>140648</v>
      </c>
      <c r="G67" s="73">
        <v>137288</v>
      </c>
      <c r="H67" s="74">
        <v>97.611059999999995</v>
      </c>
      <c r="I67" s="75">
        <v>147495</v>
      </c>
      <c r="J67" s="75">
        <v>143952</v>
      </c>
      <c r="K67" s="76">
        <v>97.597883999999993</v>
      </c>
      <c r="L67" s="31"/>
    </row>
    <row r="68" spans="1:12" ht="25" customHeight="1" x14ac:dyDescent="0.2">
      <c r="A68" s="11" t="s">
        <v>299</v>
      </c>
      <c r="B68" s="11" t="s">
        <v>300</v>
      </c>
      <c r="C68" s="11" t="s">
        <v>301</v>
      </c>
      <c r="D68" s="11" t="s">
        <v>75</v>
      </c>
      <c r="E68" s="11" t="s">
        <v>57</v>
      </c>
      <c r="F68" s="73">
        <v>494817</v>
      </c>
      <c r="G68" s="73">
        <v>479520</v>
      </c>
      <c r="H68" s="74">
        <v>96.908550000000005</v>
      </c>
      <c r="I68" s="75">
        <v>548400</v>
      </c>
      <c r="J68" s="75">
        <v>529866</v>
      </c>
      <c r="K68" s="76">
        <v>96.620350000000002</v>
      </c>
      <c r="L68" s="31"/>
    </row>
    <row r="69" spans="1:12" ht="25" customHeight="1" x14ac:dyDescent="0.2">
      <c r="A69" s="11" t="s">
        <v>302</v>
      </c>
      <c r="B69" s="11" t="s">
        <v>303</v>
      </c>
      <c r="C69" s="11" t="s">
        <v>304</v>
      </c>
      <c r="D69" s="11" t="s">
        <v>77</v>
      </c>
      <c r="E69" s="11" t="s">
        <v>57</v>
      </c>
      <c r="F69" s="73">
        <v>94696</v>
      </c>
      <c r="G69" s="73">
        <v>93061</v>
      </c>
      <c r="H69" s="74">
        <v>98.273420000000002</v>
      </c>
      <c r="I69" s="75">
        <v>103035</v>
      </c>
      <c r="J69" s="75">
        <v>100908</v>
      </c>
      <c r="K69" s="76">
        <v>97.935652000000005</v>
      </c>
      <c r="L69" s="31"/>
    </row>
    <row r="70" spans="1:12" ht="25" customHeight="1" x14ac:dyDescent="0.2">
      <c r="A70" s="11" t="s">
        <v>305</v>
      </c>
      <c r="B70" s="11" t="s">
        <v>306</v>
      </c>
      <c r="C70" s="11" t="s">
        <v>307</v>
      </c>
      <c r="D70" s="11" t="s">
        <v>73</v>
      </c>
      <c r="E70" s="11" t="s">
        <v>63</v>
      </c>
      <c r="F70" s="73">
        <v>212773</v>
      </c>
      <c r="G70" s="73">
        <v>198983</v>
      </c>
      <c r="H70" s="74">
        <v>93.518910000000005</v>
      </c>
      <c r="I70" s="75">
        <v>227342</v>
      </c>
      <c r="J70" s="75">
        <v>212311</v>
      </c>
      <c r="K70" s="76">
        <v>93.388374999999996</v>
      </c>
      <c r="L70" s="31"/>
    </row>
    <row r="71" spans="1:12" ht="25" customHeight="1" x14ac:dyDescent="0.2">
      <c r="A71" s="11" t="s">
        <v>308</v>
      </c>
      <c r="B71" s="11" t="s">
        <v>309</v>
      </c>
      <c r="C71" s="11" t="s">
        <v>310</v>
      </c>
      <c r="D71" s="11" t="s">
        <v>77</v>
      </c>
      <c r="E71" s="11" t="s">
        <v>59</v>
      </c>
      <c r="F71" s="73">
        <v>80944</v>
      </c>
      <c r="G71" s="73">
        <v>78565</v>
      </c>
      <c r="H71" s="74">
        <v>97.060929999999999</v>
      </c>
      <c r="I71" s="75">
        <v>85266</v>
      </c>
      <c r="J71" s="75">
        <v>82783</v>
      </c>
      <c r="K71" s="76">
        <v>97.087935999999999</v>
      </c>
      <c r="L71" s="31"/>
    </row>
    <row r="72" spans="1:12" ht="25" customHeight="1" x14ac:dyDescent="0.2">
      <c r="A72" s="11" t="s">
        <v>311</v>
      </c>
      <c r="B72" s="11" t="s">
        <v>312</v>
      </c>
      <c r="C72" s="11" t="s">
        <v>313</v>
      </c>
      <c r="D72" s="11" t="s">
        <v>71</v>
      </c>
      <c r="E72" s="11" t="s">
        <v>65</v>
      </c>
      <c r="F72" s="73">
        <v>331605</v>
      </c>
      <c r="G72" s="73">
        <v>313259</v>
      </c>
      <c r="H72" s="74">
        <v>94.467510000000004</v>
      </c>
      <c r="I72" s="75">
        <v>349838</v>
      </c>
      <c r="J72" s="75">
        <v>329719</v>
      </c>
      <c r="K72" s="76">
        <v>94.249052000000006</v>
      </c>
      <c r="L72" s="31"/>
    </row>
    <row r="73" spans="1:12" ht="25" customHeight="1" x14ac:dyDescent="0.2">
      <c r="A73" s="11" t="s">
        <v>314</v>
      </c>
      <c r="B73" s="11" t="s">
        <v>315</v>
      </c>
      <c r="C73" s="11" t="s">
        <v>316</v>
      </c>
      <c r="D73" s="11" t="s">
        <v>75</v>
      </c>
      <c r="E73" s="11" t="s">
        <v>49</v>
      </c>
      <c r="F73" s="73">
        <v>208724</v>
      </c>
      <c r="G73" s="73">
        <v>200668</v>
      </c>
      <c r="H73" s="74">
        <v>96.140360000000001</v>
      </c>
      <c r="I73" s="75">
        <v>224783</v>
      </c>
      <c r="J73" s="75">
        <v>215559</v>
      </c>
      <c r="K73" s="76">
        <v>95.896485999999996</v>
      </c>
      <c r="L73" s="31"/>
    </row>
    <row r="74" spans="1:12" ht="25" customHeight="1" x14ac:dyDescent="0.2">
      <c r="A74" s="11" t="s">
        <v>317</v>
      </c>
      <c r="B74" s="11" t="s">
        <v>318</v>
      </c>
      <c r="C74" s="11" t="s">
        <v>319</v>
      </c>
      <c r="D74" s="11" t="s">
        <v>77</v>
      </c>
      <c r="E74" s="11" t="s">
        <v>55</v>
      </c>
      <c r="F74" s="73">
        <v>133100</v>
      </c>
      <c r="G74" s="73">
        <v>129560</v>
      </c>
      <c r="H74" s="74">
        <v>97.340350000000001</v>
      </c>
      <c r="I74" s="75">
        <v>140473</v>
      </c>
      <c r="J74" s="75">
        <v>136576</v>
      </c>
      <c r="K74" s="76">
        <v>97.225801000000004</v>
      </c>
      <c r="L74" s="31"/>
    </row>
    <row r="75" spans="1:12" ht="25" customHeight="1" x14ac:dyDescent="0.2">
      <c r="A75" s="11" t="s">
        <v>320</v>
      </c>
      <c r="B75" s="11" t="s">
        <v>321</v>
      </c>
      <c r="C75" s="11" t="s">
        <v>322</v>
      </c>
      <c r="D75" s="11" t="s">
        <v>75</v>
      </c>
      <c r="E75" s="11" t="s">
        <v>51</v>
      </c>
      <c r="F75" s="73">
        <v>80295</v>
      </c>
      <c r="G75" s="73">
        <v>77337</v>
      </c>
      <c r="H75" s="74">
        <v>96.316079999999999</v>
      </c>
      <c r="I75" s="75">
        <v>85540</v>
      </c>
      <c r="J75" s="75">
        <v>82563</v>
      </c>
      <c r="K75" s="76">
        <v>96.519756000000001</v>
      </c>
      <c r="L75" s="31"/>
    </row>
    <row r="76" spans="1:12" ht="25" customHeight="1" x14ac:dyDescent="0.2">
      <c r="A76" s="11" t="s">
        <v>323</v>
      </c>
      <c r="B76" s="11" t="s">
        <v>324</v>
      </c>
      <c r="C76" s="11" t="s">
        <v>325</v>
      </c>
      <c r="D76" s="11" t="s">
        <v>77</v>
      </c>
      <c r="E76" s="11" t="s">
        <v>59</v>
      </c>
      <c r="F76" s="73">
        <v>92621</v>
      </c>
      <c r="G76" s="73">
        <v>88718</v>
      </c>
      <c r="H76" s="74">
        <v>95.786050000000003</v>
      </c>
      <c r="I76" s="75">
        <v>98777</v>
      </c>
      <c r="J76" s="75">
        <v>94291</v>
      </c>
      <c r="K76" s="76">
        <v>95.458455999999998</v>
      </c>
      <c r="L76" s="31"/>
    </row>
    <row r="77" spans="1:12" ht="25" customHeight="1" x14ac:dyDescent="0.2">
      <c r="A77" s="11" t="s">
        <v>326</v>
      </c>
      <c r="B77" s="11" t="s">
        <v>327</v>
      </c>
      <c r="C77" s="11" t="s">
        <v>328</v>
      </c>
      <c r="D77" s="11" t="s">
        <v>75</v>
      </c>
      <c r="E77" s="11" t="s">
        <v>53</v>
      </c>
      <c r="F77" s="73">
        <v>155159</v>
      </c>
      <c r="G77" s="73">
        <v>144686</v>
      </c>
      <c r="H77" s="74">
        <v>93.250150000000005</v>
      </c>
      <c r="I77" s="75">
        <v>163858</v>
      </c>
      <c r="J77" s="75">
        <v>153010</v>
      </c>
      <c r="K77" s="76">
        <v>93.379632999999998</v>
      </c>
      <c r="L77" s="31"/>
    </row>
    <row r="78" spans="1:12" ht="25" customHeight="1" x14ac:dyDescent="0.2">
      <c r="A78" s="11" t="s">
        <v>329</v>
      </c>
      <c r="B78" s="11" t="s">
        <v>330</v>
      </c>
      <c r="C78" s="11" t="s">
        <v>331</v>
      </c>
      <c r="D78" s="11" t="s">
        <v>77</v>
      </c>
      <c r="E78" s="11" t="s">
        <v>53</v>
      </c>
      <c r="F78" s="73">
        <v>68386</v>
      </c>
      <c r="G78" s="73">
        <v>66766</v>
      </c>
      <c r="H78" s="74">
        <v>97.63109</v>
      </c>
      <c r="I78" s="75">
        <v>73647</v>
      </c>
      <c r="J78" s="75">
        <v>71742</v>
      </c>
      <c r="K78" s="76">
        <v>97.413336000000001</v>
      </c>
      <c r="L78" s="31"/>
    </row>
    <row r="79" spans="1:12" ht="25" customHeight="1" x14ac:dyDescent="0.2">
      <c r="A79" s="11" t="s">
        <v>332</v>
      </c>
      <c r="B79" s="11" t="s">
        <v>333</v>
      </c>
      <c r="C79" s="11" t="s">
        <v>334</v>
      </c>
      <c r="D79" s="11" t="s">
        <v>73</v>
      </c>
      <c r="E79" s="11" t="s">
        <v>61</v>
      </c>
      <c r="F79" s="73">
        <v>177918</v>
      </c>
      <c r="G79" s="73">
        <v>167463</v>
      </c>
      <c r="H79" s="74">
        <v>94.123699999999999</v>
      </c>
      <c r="I79" s="75">
        <v>187845</v>
      </c>
      <c r="J79" s="75">
        <v>176340</v>
      </c>
      <c r="K79" s="76">
        <v>93.875269000000003</v>
      </c>
      <c r="L79" s="31"/>
    </row>
    <row r="80" spans="1:12" ht="25" customHeight="1" x14ac:dyDescent="0.2">
      <c r="A80" s="11" t="s">
        <v>335</v>
      </c>
      <c r="B80" s="11" t="s">
        <v>336</v>
      </c>
      <c r="C80" s="11" t="s">
        <v>337</v>
      </c>
      <c r="D80" s="11" t="s">
        <v>75</v>
      </c>
      <c r="E80" s="11" t="s">
        <v>57</v>
      </c>
      <c r="F80" s="73">
        <v>394201</v>
      </c>
      <c r="G80" s="73">
        <v>378544</v>
      </c>
      <c r="H80" s="74">
        <v>96.028170000000003</v>
      </c>
      <c r="I80" s="75">
        <v>430642</v>
      </c>
      <c r="J80" s="75">
        <v>409510</v>
      </c>
      <c r="K80" s="76">
        <v>95.092906999999997</v>
      </c>
      <c r="L80" s="31"/>
    </row>
    <row r="81" spans="1:12" ht="25" customHeight="1" x14ac:dyDescent="0.2">
      <c r="A81" s="11" t="s">
        <v>338</v>
      </c>
      <c r="B81" s="11" t="s">
        <v>339</v>
      </c>
      <c r="C81" s="11" t="s">
        <v>340</v>
      </c>
      <c r="D81" s="11" t="s">
        <v>77</v>
      </c>
      <c r="E81" s="11" t="s">
        <v>59</v>
      </c>
      <c r="F81" s="73">
        <v>93586</v>
      </c>
      <c r="G81" s="73">
        <v>90274</v>
      </c>
      <c r="H81" s="74">
        <v>96.461010000000002</v>
      </c>
      <c r="I81" s="75">
        <v>100996</v>
      </c>
      <c r="J81" s="75">
        <v>96922</v>
      </c>
      <c r="K81" s="76">
        <v>95.966176000000004</v>
      </c>
      <c r="L81" s="31"/>
    </row>
    <row r="82" spans="1:12" ht="25" customHeight="1" x14ac:dyDescent="0.2">
      <c r="A82" s="11" t="s">
        <v>341</v>
      </c>
      <c r="B82" s="11" t="s">
        <v>342</v>
      </c>
      <c r="C82" s="11" t="s">
        <v>343</v>
      </c>
      <c r="D82" s="11" t="s">
        <v>73</v>
      </c>
      <c r="E82" s="11" t="s">
        <v>63</v>
      </c>
      <c r="F82" s="73">
        <v>186264</v>
      </c>
      <c r="G82" s="73">
        <v>179388</v>
      </c>
      <c r="H82" s="74">
        <v>96.30847</v>
      </c>
      <c r="I82" s="75">
        <v>203789</v>
      </c>
      <c r="J82" s="75">
        <v>193407</v>
      </c>
      <c r="K82" s="76">
        <v>94.905514999999994</v>
      </c>
      <c r="L82" s="31"/>
    </row>
    <row r="83" spans="1:12" ht="25" customHeight="1" x14ac:dyDescent="0.2">
      <c r="A83" s="11" t="s">
        <v>344</v>
      </c>
      <c r="B83" s="11" t="s">
        <v>345</v>
      </c>
      <c r="C83" s="11" t="s">
        <v>346</v>
      </c>
      <c r="D83" s="11" t="s">
        <v>75</v>
      </c>
      <c r="E83" s="11" t="s">
        <v>51</v>
      </c>
      <c r="F83" s="73">
        <v>361524</v>
      </c>
      <c r="G83" s="73">
        <v>344188</v>
      </c>
      <c r="H83" s="74">
        <v>95.204740000000001</v>
      </c>
      <c r="I83" s="75">
        <v>384673</v>
      </c>
      <c r="J83" s="75">
        <v>365762</v>
      </c>
      <c r="K83" s="76">
        <v>95.083876000000004</v>
      </c>
      <c r="L83" s="31"/>
    </row>
    <row r="84" spans="1:12" ht="25" customHeight="1" x14ac:dyDescent="0.2">
      <c r="A84" s="11" t="s">
        <v>347</v>
      </c>
      <c r="B84" s="11" t="s">
        <v>348</v>
      </c>
      <c r="C84" s="11" t="s">
        <v>349</v>
      </c>
      <c r="D84" s="11" t="s">
        <v>71</v>
      </c>
      <c r="E84" s="11" t="s">
        <v>65</v>
      </c>
      <c r="F84" s="73">
        <v>246486</v>
      </c>
      <c r="G84" s="73">
        <v>238724</v>
      </c>
      <c r="H84" s="74">
        <v>96.850939999999994</v>
      </c>
      <c r="I84" s="75">
        <v>261831</v>
      </c>
      <c r="J84" s="75">
        <v>251042</v>
      </c>
      <c r="K84" s="76">
        <v>95.879402999999996</v>
      </c>
      <c r="L84" s="31"/>
    </row>
    <row r="85" spans="1:12" ht="25" customHeight="1" x14ac:dyDescent="0.2">
      <c r="A85" s="11" t="s">
        <v>350</v>
      </c>
      <c r="B85" s="11" t="s">
        <v>351</v>
      </c>
      <c r="C85" s="11" t="s">
        <v>352</v>
      </c>
      <c r="D85" s="11" t="s">
        <v>77</v>
      </c>
      <c r="E85" s="11" t="s">
        <v>55</v>
      </c>
      <c r="F85" s="73">
        <v>75116</v>
      </c>
      <c r="G85" s="73">
        <v>73360</v>
      </c>
      <c r="H85" s="74">
        <v>97.662279999999996</v>
      </c>
      <c r="I85" s="75">
        <v>80032</v>
      </c>
      <c r="J85" s="75">
        <v>78033</v>
      </c>
      <c r="K85" s="76">
        <v>97.502249000000006</v>
      </c>
      <c r="L85" s="31"/>
    </row>
    <row r="86" spans="1:12" ht="25" customHeight="1" x14ac:dyDescent="0.2">
      <c r="A86" s="11" t="s">
        <v>353</v>
      </c>
      <c r="B86" s="11" t="s">
        <v>354</v>
      </c>
      <c r="C86" s="11" t="s">
        <v>355</v>
      </c>
      <c r="D86" s="11" t="s">
        <v>77</v>
      </c>
      <c r="E86" s="11" t="s">
        <v>57</v>
      </c>
      <c r="F86" s="73">
        <v>149361</v>
      </c>
      <c r="G86" s="73">
        <v>147104</v>
      </c>
      <c r="H86" s="74">
        <v>98.488900000000001</v>
      </c>
      <c r="I86" s="75">
        <v>163306</v>
      </c>
      <c r="J86" s="75">
        <v>160407</v>
      </c>
      <c r="K86" s="76">
        <v>98.224804000000006</v>
      </c>
      <c r="L86" s="31"/>
    </row>
    <row r="87" spans="1:12" ht="25" customHeight="1" x14ac:dyDescent="0.2">
      <c r="A87" s="11" t="s">
        <v>356</v>
      </c>
      <c r="B87" s="11" t="s">
        <v>357</v>
      </c>
      <c r="C87" s="11" t="s">
        <v>358</v>
      </c>
      <c r="D87" s="11" t="s">
        <v>77</v>
      </c>
      <c r="E87" s="11" t="s">
        <v>59</v>
      </c>
      <c r="F87" s="73">
        <v>112687</v>
      </c>
      <c r="G87" s="73">
        <v>110807</v>
      </c>
      <c r="H87" s="74">
        <v>98.331659999999999</v>
      </c>
      <c r="I87" s="75">
        <v>119156</v>
      </c>
      <c r="J87" s="75">
        <v>117063</v>
      </c>
      <c r="K87" s="76">
        <v>98.243478999999994</v>
      </c>
      <c r="L87" s="31"/>
    </row>
    <row r="88" spans="1:12" ht="25" customHeight="1" x14ac:dyDescent="0.2">
      <c r="A88" s="11" t="s">
        <v>359</v>
      </c>
      <c r="B88" s="11" t="s">
        <v>360</v>
      </c>
      <c r="C88" s="11" t="s">
        <v>361</v>
      </c>
      <c r="D88" s="11" t="s">
        <v>77</v>
      </c>
      <c r="E88" s="11" t="s">
        <v>55</v>
      </c>
      <c r="F88" s="73">
        <v>146645</v>
      </c>
      <c r="G88" s="73">
        <v>141859</v>
      </c>
      <c r="H88" s="74">
        <v>96.736339999999998</v>
      </c>
      <c r="I88" s="75">
        <v>155805</v>
      </c>
      <c r="J88" s="75">
        <v>150932</v>
      </c>
      <c r="K88" s="76">
        <v>96.872371999999999</v>
      </c>
      <c r="L88" s="31"/>
    </row>
    <row r="89" spans="1:12" ht="25" customHeight="1" x14ac:dyDescent="0.2">
      <c r="A89" s="11" t="s">
        <v>362</v>
      </c>
      <c r="B89" s="11" t="s">
        <v>363</v>
      </c>
      <c r="C89" s="11" t="s">
        <v>364</v>
      </c>
      <c r="D89" s="11" t="s">
        <v>77</v>
      </c>
      <c r="E89" s="11" t="s">
        <v>53</v>
      </c>
      <c r="F89" s="73">
        <v>102956</v>
      </c>
      <c r="G89" s="73">
        <v>98296</v>
      </c>
      <c r="H89" s="74">
        <v>95.473789999999994</v>
      </c>
      <c r="I89" s="75">
        <v>109259</v>
      </c>
      <c r="J89" s="75">
        <v>104352</v>
      </c>
      <c r="K89" s="76">
        <v>95.508836000000002</v>
      </c>
      <c r="L89" s="31"/>
    </row>
    <row r="90" spans="1:12" ht="25" customHeight="1" x14ac:dyDescent="0.2">
      <c r="A90" s="11" t="s">
        <v>365</v>
      </c>
      <c r="B90" s="11" t="s">
        <v>366</v>
      </c>
      <c r="C90" s="11" t="s">
        <v>367</v>
      </c>
      <c r="D90" s="11" t="s">
        <v>75</v>
      </c>
      <c r="E90" s="11" t="s">
        <v>61</v>
      </c>
      <c r="F90" s="73">
        <v>285011</v>
      </c>
      <c r="G90" s="73">
        <v>276189</v>
      </c>
      <c r="H90" s="74">
        <v>96.904679999999999</v>
      </c>
      <c r="I90" s="75">
        <v>307149</v>
      </c>
      <c r="J90" s="75">
        <v>297854</v>
      </c>
      <c r="K90" s="76">
        <v>96.973781000000002</v>
      </c>
      <c r="L90" s="31"/>
    </row>
    <row r="91" spans="1:12" ht="25" customHeight="1" x14ac:dyDescent="0.2">
      <c r="A91" s="11" t="s">
        <v>368</v>
      </c>
      <c r="B91" s="11" t="s">
        <v>369</v>
      </c>
      <c r="C91" s="11" t="s">
        <v>370</v>
      </c>
      <c r="D91" s="11" t="s">
        <v>77</v>
      </c>
      <c r="E91" s="11" t="s">
        <v>63</v>
      </c>
      <c r="F91" s="73">
        <v>89122</v>
      </c>
      <c r="G91" s="73">
        <v>85340</v>
      </c>
      <c r="H91" s="74">
        <v>95.756379999999993</v>
      </c>
      <c r="I91" s="75">
        <v>94740</v>
      </c>
      <c r="J91" s="75">
        <v>90195</v>
      </c>
      <c r="K91" s="76">
        <v>95.202658999999997</v>
      </c>
      <c r="L91" s="31"/>
    </row>
    <row r="92" spans="1:12" ht="25" customHeight="1" x14ac:dyDescent="0.2">
      <c r="A92" s="11" t="s">
        <v>371</v>
      </c>
      <c r="B92" s="11" t="s">
        <v>372</v>
      </c>
      <c r="C92" s="11" t="s">
        <v>373</v>
      </c>
      <c r="D92" s="11" t="s">
        <v>77</v>
      </c>
      <c r="E92" s="11" t="s">
        <v>55</v>
      </c>
      <c r="F92" s="73">
        <v>196133</v>
      </c>
      <c r="G92" s="73">
        <v>191113</v>
      </c>
      <c r="H92" s="74">
        <v>97.440510000000003</v>
      </c>
      <c r="I92" s="75">
        <v>214531</v>
      </c>
      <c r="J92" s="75">
        <v>208742</v>
      </c>
      <c r="K92" s="76">
        <v>97.301554999999993</v>
      </c>
      <c r="L92" s="31"/>
    </row>
    <row r="93" spans="1:12" ht="25" customHeight="1" x14ac:dyDescent="0.2">
      <c r="A93" s="11" t="s">
        <v>374</v>
      </c>
      <c r="B93" s="11" t="s">
        <v>375</v>
      </c>
      <c r="C93" s="11" t="s">
        <v>376</v>
      </c>
      <c r="D93" s="11" t="s">
        <v>77</v>
      </c>
      <c r="E93" s="11" t="s">
        <v>59</v>
      </c>
      <c r="F93" s="73">
        <v>88232</v>
      </c>
      <c r="G93" s="73">
        <v>84773</v>
      </c>
      <c r="H93" s="74">
        <v>96.079650000000001</v>
      </c>
      <c r="I93" s="75">
        <v>94420</v>
      </c>
      <c r="J93" s="75">
        <v>90778</v>
      </c>
      <c r="K93" s="76">
        <v>96.142765999999995</v>
      </c>
      <c r="L93" s="31"/>
    </row>
    <row r="94" spans="1:12" ht="25" customHeight="1" x14ac:dyDescent="0.2">
      <c r="A94" s="11" t="s">
        <v>377</v>
      </c>
      <c r="B94" s="11" t="s">
        <v>378</v>
      </c>
      <c r="C94" s="11" t="s">
        <v>379</v>
      </c>
      <c r="D94" s="11" t="s">
        <v>77</v>
      </c>
      <c r="E94" s="11" t="s">
        <v>59</v>
      </c>
      <c r="F94" s="73">
        <v>107523</v>
      </c>
      <c r="G94" s="73">
        <v>104549</v>
      </c>
      <c r="H94" s="74">
        <v>97.234080000000006</v>
      </c>
      <c r="I94" s="75">
        <v>114552</v>
      </c>
      <c r="J94" s="75">
        <v>111249</v>
      </c>
      <c r="K94" s="76">
        <v>97.116592999999995</v>
      </c>
      <c r="L94" s="31"/>
    </row>
    <row r="95" spans="1:12" ht="25" customHeight="1" x14ac:dyDescent="0.2">
      <c r="A95" s="11" t="s">
        <v>380</v>
      </c>
      <c r="B95" s="11" t="s">
        <v>381</v>
      </c>
      <c r="C95" s="11" t="s">
        <v>382</v>
      </c>
      <c r="D95" s="11" t="s">
        <v>77</v>
      </c>
      <c r="E95" s="11" t="s">
        <v>59</v>
      </c>
      <c r="F95" s="73">
        <v>157118</v>
      </c>
      <c r="G95" s="73">
        <v>154259</v>
      </c>
      <c r="H95" s="74">
        <v>98.180350000000004</v>
      </c>
      <c r="I95" s="75">
        <v>166464</v>
      </c>
      <c r="J95" s="75">
        <v>163503</v>
      </c>
      <c r="K95" s="76">
        <v>98.221237000000002</v>
      </c>
      <c r="L95" s="31"/>
    </row>
    <row r="96" spans="1:12" ht="25" customHeight="1" x14ac:dyDescent="0.2">
      <c r="A96" s="11" t="s">
        <v>383</v>
      </c>
      <c r="B96" s="11" t="s">
        <v>384</v>
      </c>
      <c r="C96" s="11" t="s">
        <v>385</v>
      </c>
      <c r="D96" s="11" t="s">
        <v>71</v>
      </c>
      <c r="E96" s="11" t="s">
        <v>65</v>
      </c>
      <c r="F96" s="73">
        <v>224144</v>
      </c>
      <c r="G96" s="73">
        <v>206071</v>
      </c>
      <c r="H96" s="74">
        <v>91.936880000000002</v>
      </c>
      <c r="I96" s="75">
        <v>237791</v>
      </c>
      <c r="J96" s="75">
        <v>219058</v>
      </c>
      <c r="K96" s="76">
        <v>92.122073</v>
      </c>
      <c r="L96" s="31"/>
    </row>
    <row r="97" spans="1:12" ht="25" customHeight="1" x14ac:dyDescent="0.2">
      <c r="A97" s="11" t="s">
        <v>386</v>
      </c>
      <c r="B97" s="11" t="s">
        <v>387</v>
      </c>
      <c r="C97" s="11" t="s">
        <v>388</v>
      </c>
      <c r="D97" s="11" t="s">
        <v>77</v>
      </c>
      <c r="E97" s="11" t="s">
        <v>55</v>
      </c>
      <c r="F97" s="73">
        <v>118827</v>
      </c>
      <c r="G97" s="73">
        <v>115312</v>
      </c>
      <c r="H97" s="74">
        <v>97.041920000000005</v>
      </c>
      <c r="I97" s="75">
        <v>124802</v>
      </c>
      <c r="J97" s="75">
        <v>120756</v>
      </c>
      <c r="K97" s="76">
        <v>96.758064000000005</v>
      </c>
      <c r="L97" s="31"/>
    </row>
    <row r="98" spans="1:12" ht="25" customHeight="1" x14ac:dyDescent="0.2">
      <c r="A98" s="11" t="s">
        <v>389</v>
      </c>
      <c r="B98" s="11" t="s">
        <v>390</v>
      </c>
      <c r="C98" s="11" t="s">
        <v>391</v>
      </c>
      <c r="D98" s="11" t="s">
        <v>77</v>
      </c>
      <c r="E98" s="11" t="s">
        <v>59</v>
      </c>
      <c r="F98" s="73">
        <v>78414</v>
      </c>
      <c r="G98" s="73">
        <v>77633</v>
      </c>
      <c r="H98" s="74">
        <v>99.004000000000005</v>
      </c>
      <c r="I98" s="75">
        <v>82131</v>
      </c>
      <c r="J98" s="75">
        <v>81269</v>
      </c>
      <c r="K98" s="76">
        <v>98.950457</v>
      </c>
      <c r="L98" s="31"/>
    </row>
    <row r="99" spans="1:12" ht="25" customHeight="1" x14ac:dyDescent="0.2">
      <c r="A99" s="11" t="s">
        <v>392</v>
      </c>
      <c r="B99" s="11" t="s">
        <v>393</v>
      </c>
      <c r="C99" s="11" t="s">
        <v>394</v>
      </c>
      <c r="D99" s="11" t="s">
        <v>77</v>
      </c>
      <c r="E99" s="11" t="s">
        <v>53</v>
      </c>
      <c r="F99" s="73">
        <v>74775</v>
      </c>
      <c r="G99" s="73">
        <v>71839</v>
      </c>
      <c r="H99" s="74">
        <v>96.073549999999997</v>
      </c>
      <c r="I99" s="75">
        <v>79424</v>
      </c>
      <c r="J99" s="75">
        <v>75770</v>
      </c>
      <c r="K99" s="76">
        <v>95.399375000000006</v>
      </c>
      <c r="L99" s="31"/>
    </row>
    <row r="100" spans="1:12" ht="25" customHeight="1" x14ac:dyDescent="0.2">
      <c r="A100" s="11" t="s">
        <v>395</v>
      </c>
      <c r="B100" s="11" t="s">
        <v>396</v>
      </c>
      <c r="C100" s="11" t="s">
        <v>397</v>
      </c>
      <c r="D100" s="11" t="s">
        <v>77</v>
      </c>
      <c r="E100" s="11" t="s">
        <v>57</v>
      </c>
      <c r="F100" s="73">
        <v>90806</v>
      </c>
      <c r="G100" s="73">
        <v>87399</v>
      </c>
      <c r="H100" s="74">
        <v>96.248050000000006</v>
      </c>
      <c r="I100" s="75">
        <v>97048</v>
      </c>
      <c r="J100" s="75">
        <v>92646</v>
      </c>
      <c r="K100" s="76">
        <v>95.464100000000002</v>
      </c>
      <c r="L100" s="31"/>
    </row>
    <row r="101" spans="1:12" ht="25" customHeight="1" x14ac:dyDescent="0.2">
      <c r="A101" s="11" t="s">
        <v>398</v>
      </c>
      <c r="B101" s="11" t="s">
        <v>399</v>
      </c>
      <c r="C101" s="11" t="s">
        <v>400</v>
      </c>
      <c r="D101" s="11" t="s">
        <v>77</v>
      </c>
      <c r="E101" s="11" t="s">
        <v>59</v>
      </c>
      <c r="F101" s="73">
        <v>91866</v>
      </c>
      <c r="G101" s="73">
        <v>90297</v>
      </c>
      <c r="H101" s="74">
        <v>98.292079999999999</v>
      </c>
      <c r="I101" s="75">
        <v>97362</v>
      </c>
      <c r="J101" s="75">
        <v>95202</v>
      </c>
      <c r="K101" s="76">
        <v>97.781475</v>
      </c>
      <c r="L101" s="31"/>
    </row>
    <row r="102" spans="1:12" ht="25" customHeight="1" x14ac:dyDescent="0.2">
      <c r="A102" s="11" t="s">
        <v>401</v>
      </c>
      <c r="B102" s="11" t="s">
        <v>402</v>
      </c>
      <c r="C102" s="11" t="s">
        <v>403</v>
      </c>
      <c r="D102" s="11" t="s">
        <v>77</v>
      </c>
      <c r="E102" s="11" t="s">
        <v>55</v>
      </c>
      <c r="F102" s="73">
        <v>74785</v>
      </c>
      <c r="G102" s="73">
        <v>71911</v>
      </c>
      <c r="H102" s="74">
        <v>96.156980000000004</v>
      </c>
      <c r="I102" s="75">
        <v>79507</v>
      </c>
      <c r="J102" s="75">
        <v>76080</v>
      </c>
      <c r="K102" s="76">
        <v>95.689687000000006</v>
      </c>
      <c r="L102" s="31"/>
    </row>
    <row r="103" spans="1:12" ht="25" customHeight="1" x14ac:dyDescent="0.2">
      <c r="A103" s="11" t="s">
        <v>404</v>
      </c>
      <c r="B103" s="11" t="s">
        <v>405</v>
      </c>
      <c r="C103" s="11" t="s">
        <v>406</v>
      </c>
      <c r="D103" s="11" t="s">
        <v>77</v>
      </c>
      <c r="E103" s="11" t="s">
        <v>59</v>
      </c>
      <c r="F103" s="73">
        <v>96576</v>
      </c>
      <c r="G103" s="73">
        <v>93133</v>
      </c>
      <c r="H103" s="74">
        <v>96.434929999999994</v>
      </c>
      <c r="I103" s="75">
        <v>104019</v>
      </c>
      <c r="J103" s="75">
        <v>100230</v>
      </c>
      <c r="K103" s="76">
        <v>96.357395999999994</v>
      </c>
      <c r="L103" s="31"/>
    </row>
    <row r="104" spans="1:12" ht="25" customHeight="1" x14ac:dyDescent="0.2">
      <c r="A104" s="11" t="s">
        <v>407</v>
      </c>
      <c r="B104" s="11" t="s">
        <v>408</v>
      </c>
      <c r="C104" s="11" t="s">
        <v>409</v>
      </c>
      <c r="D104" s="11" t="s">
        <v>77</v>
      </c>
      <c r="E104" s="11" t="s">
        <v>57</v>
      </c>
      <c r="F104" s="73">
        <v>70487</v>
      </c>
      <c r="G104" s="73">
        <v>68714</v>
      </c>
      <c r="H104" s="74">
        <v>97.484639999999999</v>
      </c>
      <c r="I104" s="75">
        <v>75327</v>
      </c>
      <c r="J104" s="75">
        <v>72645</v>
      </c>
      <c r="K104" s="76">
        <v>96.439522999999994</v>
      </c>
      <c r="L104" s="31"/>
    </row>
    <row r="105" spans="1:12" ht="25" customHeight="1" x14ac:dyDescent="0.2">
      <c r="A105" s="11" t="s">
        <v>410</v>
      </c>
      <c r="B105" s="11" t="s">
        <v>411</v>
      </c>
      <c r="C105" s="11" t="s">
        <v>412</v>
      </c>
      <c r="D105" s="11" t="s">
        <v>77</v>
      </c>
      <c r="E105" s="11" t="s">
        <v>49</v>
      </c>
      <c r="F105" s="73">
        <v>74719</v>
      </c>
      <c r="G105" s="73">
        <v>72218</v>
      </c>
      <c r="H105" s="74">
        <v>96.652789999999996</v>
      </c>
      <c r="I105" s="75">
        <v>79500</v>
      </c>
      <c r="J105" s="75">
        <v>76859</v>
      </c>
      <c r="K105" s="76">
        <v>96.677987000000002</v>
      </c>
      <c r="L105" s="31"/>
    </row>
    <row r="106" spans="1:12" ht="25" customHeight="1" x14ac:dyDescent="0.2">
      <c r="A106" s="11" t="s">
        <v>413</v>
      </c>
      <c r="B106" s="11" t="s">
        <v>414</v>
      </c>
      <c r="C106" s="11" t="s">
        <v>415</v>
      </c>
      <c r="D106" s="11" t="s">
        <v>73</v>
      </c>
      <c r="E106" s="11" t="s">
        <v>51</v>
      </c>
      <c r="F106" s="73">
        <v>135155</v>
      </c>
      <c r="G106" s="73">
        <v>126932</v>
      </c>
      <c r="H106" s="74">
        <v>93.915869999999998</v>
      </c>
      <c r="I106" s="75">
        <v>143426</v>
      </c>
      <c r="J106" s="75">
        <v>134830</v>
      </c>
      <c r="K106" s="76">
        <v>94.006664999999998</v>
      </c>
      <c r="L106" s="31"/>
    </row>
    <row r="107" spans="1:12" ht="25" customHeight="1" x14ac:dyDescent="0.2">
      <c r="A107" s="11" t="s">
        <v>416</v>
      </c>
      <c r="B107" s="11" t="s">
        <v>417</v>
      </c>
      <c r="C107" s="11" t="s">
        <v>418</v>
      </c>
      <c r="D107" s="11" t="s">
        <v>77</v>
      </c>
      <c r="E107" s="11" t="s">
        <v>53</v>
      </c>
      <c r="F107" s="73">
        <v>94434</v>
      </c>
      <c r="G107" s="73">
        <v>91869</v>
      </c>
      <c r="H107" s="74">
        <v>97.283820000000006</v>
      </c>
      <c r="I107" s="75">
        <v>100799</v>
      </c>
      <c r="J107" s="75">
        <v>98027</v>
      </c>
      <c r="K107" s="76">
        <v>97.249972</v>
      </c>
      <c r="L107" s="31"/>
    </row>
    <row r="108" spans="1:12" ht="25" customHeight="1" x14ac:dyDescent="0.2">
      <c r="A108" s="11" t="s">
        <v>419</v>
      </c>
      <c r="B108" s="11" t="s">
        <v>420</v>
      </c>
      <c r="C108" s="11" t="s">
        <v>421</v>
      </c>
      <c r="D108" s="11" t="s">
        <v>77</v>
      </c>
      <c r="E108" s="11" t="s">
        <v>57</v>
      </c>
      <c r="F108" s="73">
        <v>85921</v>
      </c>
      <c r="G108" s="73">
        <v>82857</v>
      </c>
      <c r="H108" s="74">
        <v>96.433930000000004</v>
      </c>
      <c r="I108" s="75">
        <v>90959</v>
      </c>
      <c r="J108" s="75">
        <v>87759</v>
      </c>
      <c r="K108" s="76">
        <v>96.481931000000003</v>
      </c>
      <c r="L108" s="31"/>
    </row>
    <row r="109" spans="1:12" ht="25" customHeight="1" x14ac:dyDescent="0.2">
      <c r="A109" s="11" t="s">
        <v>422</v>
      </c>
      <c r="B109" s="11" t="s">
        <v>423</v>
      </c>
      <c r="C109" s="11" t="s">
        <v>424</v>
      </c>
      <c r="D109" s="11" t="s">
        <v>77</v>
      </c>
      <c r="E109" s="11" t="s">
        <v>59</v>
      </c>
      <c r="F109" s="73">
        <v>58562</v>
      </c>
      <c r="G109" s="73">
        <v>54664</v>
      </c>
      <c r="H109" s="74">
        <v>93.343810000000005</v>
      </c>
      <c r="I109" s="75">
        <v>62034</v>
      </c>
      <c r="J109" s="75">
        <v>58470</v>
      </c>
      <c r="K109" s="76">
        <v>94.254762999999997</v>
      </c>
      <c r="L109" s="31"/>
    </row>
    <row r="110" spans="1:12" ht="25" customHeight="1" x14ac:dyDescent="0.2">
      <c r="A110" s="11" t="s">
        <v>425</v>
      </c>
      <c r="B110" s="11" t="s">
        <v>426</v>
      </c>
      <c r="C110" s="11" t="s">
        <v>427</v>
      </c>
      <c r="D110" s="11" t="s">
        <v>77</v>
      </c>
      <c r="E110" s="11" t="s">
        <v>59</v>
      </c>
      <c r="F110" s="73">
        <v>79314</v>
      </c>
      <c r="G110" s="73">
        <v>75091</v>
      </c>
      <c r="H110" s="74">
        <v>94.67559</v>
      </c>
      <c r="I110" s="75">
        <v>83455</v>
      </c>
      <c r="J110" s="75">
        <v>78804</v>
      </c>
      <c r="K110" s="76">
        <v>94.426935999999998</v>
      </c>
      <c r="L110" s="31"/>
    </row>
    <row r="111" spans="1:12" ht="25" customHeight="1" x14ac:dyDescent="0.2">
      <c r="A111" s="11" t="s">
        <v>428</v>
      </c>
      <c r="B111" s="11" t="s">
        <v>429</v>
      </c>
      <c r="C111" s="11" t="s">
        <v>430</v>
      </c>
      <c r="D111" s="11" t="s">
        <v>77</v>
      </c>
      <c r="E111" s="11" t="s">
        <v>55</v>
      </c>
      <c r="F111" s="73">
        <v>68583</v>
      </c>
      <c r="G111" s="73">
        <v>65779</v>
      </c>
      <c r="H111" s="74">
        <v>95.911519999999996</v>
      </c>
      <c r="I111" s="75">
        <v>73595</v>
      </c>
      <c r="J111" s="75">
        <v>70219</v>
      </c>
      <c r="K111" s="76">
        <v>95.412730999999994</v>
      </c>
      <c r="L111" s="31"/>
    </row>
    <row r="112" spans="1:12" ht="25" customHeight="1" x14ac:dyDescent="0.2">
      <c r="A112" s="11" t="s">
        <v>431</v>
      </c>
      <c r="B112" s="11" t="s">
        <v>432</v>
      </c>
      <c r="C112" s="11" t="s">
        <v>433</v>
      </c>
      <c r="D112" s="11" t="s">
        <v>69</v>
      </c>
      <c r="E112" s="11" t="s">
        <v>65</v>
      </c>
      <c r="F112" s="73">
        <v>175119</v>
      </c>
      <c r="G112" s="73">
        <v>165430</v>
      </c>
      <c r="H112" s="74">
        <v>94.467190000000002</v>
      </c>
      <c r="I112" s="75">
        <v>192981</v>
      </c>
      <c r="J112" s="75">
        <v>179865</v>
      </c>
      <c r="K112" s="76">
        <v>93.203474999999997</v>
      </c>
      <c r="L112" s="31"/>
    </row>
    <row r="113" spans="1:12" ht="25" customHeight="1" x14ac:dyDescent="0.2">
      <c r="A113" s="11" t="s">
        <v>434</v>
      </c>
      <c r="B113" s="11" t="s">
        <v>435</v>
      </c>
      <c r="C113" s="11" t="s">
        <v>436</v>
      </c>
      <c r="D113" s="11" t="s">
        <v>77</v>
      </c>
      <c r="E113" s="11" t="s">
        <v>59</v>
      </c>
      <c r="F113" s="73">
        <v>141753</v>
      </c>
      <c r="G113" s="73">
        <v>138628</v>
      </c>
      <c r="H113" s="74">
        <v>97.795460000000006</v>
      </c>
      <c r="I113" s="75">
        <v>150792</v>
      </c>
      <c r="J113" s="75">
        <v>147015</v>
      </c>
      <c r="K113" s="76">
        <v>97.495225000000005</v>
      </c>
      <c r="L113" s="31"/>
    </row>
    <row r="114" spans="1:12" ht="25" customHeight="1" x14ac:dyDescent="0.2">
      <c r="A114" s="11" t="s">
        <v>437</v>
      </c>
      <c r="B114" s="11" t="s">
        <v>438</v>
      </c>
      <c r="C114" s="11" t="s">
        <v>439</v>
      </c>
      <c r="D114" s="11" t="s">
        <v>69</v>
      </c>
      <c r="E114" s="11" t="s">
        <v>65</v>
      </c>
      <c r="F114" s="73">
        <v>154791</v>
      </c>
      <c r="G114" s="73">
        <v>142099</v>
      </c>
      <c r="H114" s="74">
        <v>91.800560000000004</v>
      </c>
      <c r="I114" s="75">
        <v>164487</v>
      </c>
      <c r="J114" s="75">
        <v>153477</v>
      </c>
      <c r="K114" s="76">
        <v>93.306460999999999</v>
      </c>
      <c r="L114" s="31"/>
    </row>
    <row r="115" spans="1:12" ht="25" customHeight="1" x14ac:dyDescent="0.2">
      <c r="A115" s="11" t="s">
        <v>440</v>
      </c>
      <c r="B115" s="11" t="s">
        <v>441</v>
      </c>
      <c r="C115" s="11" t="s">
        <v>442</v>
      </c>
      <c r="D115" s="11" t="s">
        <v>75</v>
      </c>
      <c r="E115" s="11" t="s">
        <v>49</v>
      </c>
      <c r="F115" s="73">
        <v>80739</v>
      </c>
      <c r="G115" s="73">
        <v>75881</v>
      </c>
      <c r="H115" s="74">
        <v>93.983080000000001</v>
      </c>
      <c r="I115" s="75">
        <v>85997</v>
      </c>
      <c r="J115" s="75">
        <v>80974</v>
      </c>
      <c r="K115" s="76">
        <v>94.159098</v>
      </c>
      <c r="L115" s="31"/>
    </row>
    <row r="116" spans="1:12" ht="25" customHeight="1" x14ac:dyDescent="0.2">
      <c r="A116" s="11" t="s">
        <v>443</v>
      </c>
      <c r="B116" s="11" t="s">
        <v>444</v>
      </c>
      <c r="C116" s="11" t="s">
        <v>445</v>
      </c>
      <c r="D116" s="11" t="s">
        <v>69</v>
      </c>
      <c r="E116" s="11" t="s">
        <v>65</v>
      </c>
      <c r="F116" s="73">
        <v>121450</v>
      </c>
      <c r="G116" s="73">
        <v>113783</v>
      </c>
      <c r="H116" s="74">
        <v>93.687110000000004</v>
      </c>
      <c r="I116" s="75">
        <v>132924</v>
      </c>
      <c r="J116" s="75">
        <v>122675</v>
      </c>
      <c r="K116" s="76">
        <v>92.289579000000003</v>
      </c>
      <c r="L116" s="31"/>
    </row>
    <row r="117" spans="1:12" ht="25" customHeight="1" x14ac:dyDescent="0.2">
      <c r="A117" s="11" t="s">
        <v>446</v>
      </c>
      <c r="B117" s="11" t="s">
        <v>447</v>
      </c>
      <c r="C117" s="11" t="s">
        <v>448</v>
      </c>
      <c r="D117" s="11" t="s">
        <v>77</v>
      </c>
      <c r="E117" s="11" t="s">
        <v>53</v>
      </c>
      <c r="F117" s="73">
        <v>88238</v>
      </c>
      <c r="G117" s="73">
        <v>86519</v>
      </c>
      <c r="H117" s="74">
        <v>98.051860000000005</v>
      </c>
      <c r="I117" s="75">
        <v>94511</v>
      </c>
      <c r="J117" s="75">
        <v>92426</v>
      </c>
      <c r="K117" s="76">
        <v>97.793907000000004</v>
      </c>
      <c r="L117" s="31"/>
    </row>
    <row r="118" spans="1:12" ht="25" customHeight="1" x14ac:dyDescent="0.2">
      <c r="A118" s="11" t="s">
        <v>449</v>
      </c>
      <c r="B118" s="11" t="s">
        <v>450</v>
      </c>
      <c r="C118" s="11" t="s">
        <v>451</v>
      </c>
      <c r="D118" s="11" t="s">
        <v>71</v>
      </c>
      <c r="E118" s="11" t="s">
        <v>65</v>
      </c>
      <c r="F118" s="73">
        <v>180771</v>
      </c>
      <c r="G118" s="73">
        <v>169982</v>
      </c>
      <c r="H118" s="74">
        <v>94.031679999999994</v>
      </c>
      <c r="I118" s="75">
        <v>192638</v>
      </c>
      <c r="J118" s="75">
        <v>179519</v>
      </c>
      <c r="K118" s="76">
        <v>93.189817000000005</v>
      </c>
      <c r="L118" s="31"/>
    </row>
    <row r="119" spans="1:12" ht="25" customHeight="1" x14ac:dyDescent="0.2">
      <c r="A119" s="11" t="s">
        <v>452</v>
      </c>
      <c r="B119" s="11" t="s">
        <v>453</v>
      </c>
      <c r="C119" s="11" t="s">
        <v>454</v>
      </c>
      <c r="D119" s="11" t="s">
        <v>77</v>
      </c>
      <c r="E119" s="11" t="s">
        <v>55</v>
      </c>
      <c r="F119" s="73">
        <v>64153</v>
      </c>
      <c r="G119" s="73">
        <v>60744</v>
      </c>
      <c r="H119" s="74">
        <v>94.686139999999995</v>
      </c>
      <c r="I119" s="75">
        <v>67213</v>
      </c>
      <c r="J119" s="75">
        <v>63290</v>
      </c>
      <c r="K119" s="76">
        <v>94.163330999999999</v>
      </c>
      <c r="L119" s="31"/>
    </row>
    <row r="120" spans="1:12" ht="25" customHeight="1" x14ac:dyDescent="0.2">
      <c r="A120" s="11" t="s">
        <v>455</v>
      </c>
      <c r="B120" s="11" t="s">
        <v>456</v>
      </c>
      <c r="C120" s="11" t="s">
        <v>457</v>
      </c>
      <c r="D120" s="11" t="s">
        <v>71</v>
      </c>
      <c r="E120" s="11" t="s">
        <v>65</v>
      </c>
      <c r="F120" s="73">
        <v>208165</v>
      </c>
      <c r="G120" s="73">
        <v>200864</v>
      </c>
      <c r="H120" s="74">
        <v>96.492689999999996</v>
      </c>
      <c r="I120" s="75">
        <v>221840</v>
      </c>
      <c r="J120" s="75">
        <v>212187</v>
      </c>
      <c r="K120" s="76">
        <v>95.648664999999994</v>
      </c>
      <c r="L120" s="31"/>
    </row>
    <row r="121" spans="1:12" ht="25" customHeight="1" x14ac:dyDescent="0.2">
      <c r="A121" s="11" t="s">
        <v>458</v>
      </c>
      <c r="B121" s="11" t="s">
        <v>459</v>
      </c>
      <c r="C121" s="11" t="s">
        <v>460</v>
      </c>
      <c r="D121" s="11" t="s">
        <v>77</v>
      </c>
      <c r="E121" s="11" t="s">
        <v>59</v>
      </c>
      <c r="F121" s="73">
        <v>94286</v>
      </c>
      <c r="G121" s="73">
        <v>92663</v>
      </c>
      <c r="H121" s="74">
        <v>98.278639999999996</v>
      </c>
      <c r="I121" s="75">
        <v>99751</v>
      </c>
      <c r="J121" s="75">
        <v>98038</v>
      </c>
      <c r="K121" s="76">
        <v>98.282723000000004</v>
      </c>
      <c r="L121" s="31"/>
    </row>
    <row r="122" spans="1:12" ht="25" customHeight="1" x14ac:dyDescent="0.2">
      <c r="A122" s="11" t="s">
        <v>461</v>
      </c>
      <c r="B122" s="11" t="s">
        <v>462</v>
      </c>
      <c r="C122" s="11" t="s">
        <v>463</v>
      </c>
      <c r="D122" s="11" t="s">
        <v>75</v>
      </c>
      <c r="E122" s="11" t="s">
        <v>51</v>
      </c>
      <c r="F122" s="73">
        <v>62915</v>
      </c>
      <c r="G122" s="73">
        <v>58629</v>
      </c>
      <c r="H122" s="74">
        <v>93.187629999999999</v>
      </c>
      <c r="I122" s="75">
        <v>67402</v>
      </c>
      <c r="J122" s="75">
        <v>63137</v>
      </c>
      <c r="K122" s="76">
        <v>93.672293999999994</v>
      </c>
      <c r="L122" s="31"/>
    </row>
    <row r="123" spans="1:12" ht="25" customHeight="1" x14ac:dyDescent="0.2">
      <c r="A123" s="11" t="s">
        <v>464</v>
      </c>
      <c r="B123" s="11" t="s">
        <v>465</v>
      </c>
      <c r="C123" s="11" t="s">
        <v>466</v>
      </c>
      <c r="D123" s="11" t="s">
        <v>77</v>
      </c>
      <c r="E123" s="11" t="s">
        <v>59</v>
      </c>
      <c r="F123" s="73">
        <v>68994</v>
      </c>
      <c r="G123" s="73">
        <v>65071</v>
      </c>
      <c r="H123" s="74">
        <v>94.313999999999993</v>
      </c>
      <c r="I123" s="75">
        <v>74923</v>
      </c>
      <c r="J123" s="75">
        <v>69307</v>
      </c>
      <c r="K123" s="76">
        <v>92.504304000000005</v>
      </c>
      <c r="L123" s="31"/>
    </row>
    <row r="124" spans="1:12" ht="25" customHeight="1" x14ac:dyDescent="0.2">
      <c r="A124" s="11" t="s">
        <v>467</v>
      </c>
      <c r="B124" s="11" t="s">
        <v>468</v>
      </c>
      <c r="C124" s="11" t="s">
        <v>469</v>
      </c>
      <c r="D124" s="11" t="s">
        <v>77</v>
      </c>
      <c r="E124" s="11" t="s">
        <v>59</v>
      </c>
      <c r="F124" s="73">
        <v>90855</v>
      </c>
      <c r="G124" s="73">
        <v>87473</v>
      </c>
      <c r="H124" s="74">
        <v>96.277590000000004</v>
      </c>
      <c r="I124" s="75">
        <v>96107</v>
      </c>
      <c r="J124" s="75">
        <v>92643</v>
      </c>
      <c r="K124" s="76">
        <v>96.395683000000005</v>
      </c>
      <c r="L124" s="31"/>
    </row>
    <row r="125" spans="1:12" ht="25" customHeight="1" x14ac:dyDescent="0.2">
      <c r="A125" s="11" t="s">
        <v>470</v>
      </c>
      <c r="B125" s="11" t="s">
        <v>471</v>
      </c>
      <c r="C125" s="11" t="s">
        <v>472</v>
      </c>
      <c r="D125" s="11" t="s">
        <v>71</v>
      </c>
      <c r="E125" s="11" t="s">
        <v>65</v>
      </c>
      <c r="F125" s="73">
        <v>204468</v>
      </c>
      <c r="G125" s="73">
        <v>196396</v>
      </c>
      <c r="H125" s="74">
        <v>96.052189999999996</v>
      </c>
      <c r="I125" s="75">
        <v>216083</v>
      </c>
      <c r="J125" s="75">
        <v>206876</v>
      </c>
      <c r="K125" s="76">
        <v>95.739136999999999</v>
      </c>
      <c r="L125" s="31"/>
    </row>
    <row r="126" spans="1:12" ht="25" customHeight="1" x14ac:dyDescent="0.2">
      <c r="A126" s="11" t="s">
        <v>473</v>
      </c>
      <c r="B126" s="11" t="s">
        <v>474</v>
      </c>
      <c r="C126" s="11" t="s">
        <v>475</v>
      </c>
      <c r="D126" s="11" t="s">
        <v>75</v>
      </c>
      <c r="E126" s="11" t="s">
        <v>63</v>
      </c>
      <c r="F126" s="73">
        <v>169803</v>
      </c>
      <c r="G126" s="73">
        <v>165627</v>
      </c>
      <c r="H126" s="74">
        <v>97.540679999999995</v>
      </c>
      <c r="I126" s="75">
        <v>182672</v>
      </c>
      <c r="J126" s="75">
        <v>177982</v>
      </c>
      <c r="K126" s="76">
        <v>97.432556000000005</v>
      </c>
      <c r="L126" s="31"/>
    </row>
    <row r="127" spans="1:12" ht="25" customHeight="1" x14ac:dyDescent="0.2">
      <c r="A127" s="11" t="s">
        <v>476</v>
      </c>
      <c r="B127" s="11" t="s">
        <v>477</v>
      </c>
      <c r="C127" s="11" t="s">
        <v>478</v>
      </c>
      <c r="D127" s="11" t="s">
        <v>77</v>
      </c>
      <c r="E127" s="11" t="s">
        <v>55</v>
      </c>
      <c r="F127" s="73">
        <v>95657</v>
      </c>
      <c r="G127" s="73">
        <v>91700</v>
      </c>
      <c r="H127" s="74">
        <v>95.863349999999997</v>
      </c>
      <c r="I127" s="75">
        <v>100571</v>
      </c>
      <c r="J127" s="75">
        <v>96909</v>
      </c>
      <c r="K127" s="76">
        <v>96.358790999999997</v>
      </c>
      <c r="L127" s="31"/>
    </row>
    <row r="128" spans="1:12" ht="25" customHeight="1" x14ac:dyDescent="0.2">
      <c r="A128" s="11" t="s">
        <v>479</v>
      </c>
      <c r="B128" s="11" t="s">
        <v>480</v>
      </c>
      <c r="C128" s="11" t="s">
        <v>481</v>
      </c>
      <c r="D128" s="11" t="s">
        <v>77</v>
      </c>
      <c r="E128" s="11" t="s">
        <v>53</v>
      </c>
      <c r="F128" s="73">
        <v>70639</v>
      </c>
      <c r="G128" s="73">
        <v>69294</v>
      </c>
      <c r="H128" s="74">
        <v>98.095950000000002</v>
      </c>
      <c r="I128" s="75">
        <v>74998</v>
      </c>
      <c r="J128" s="75">
        <v>73491</v>
      </c>
      <c r="K128" s="76">
        <v>97.990612999999996</v>
      </c>
      <c r="L128" s="31"/>
    </row>
    <row r="129" spans="1:12" ht="25" customHeight="1" x14ac:dyDescent="0.2">
      <c r="A129" s="11" t="s">
        <v>482</v>
      </c>
      <c r="B129" s="11" t="s">
        <v>483</v>
      </c>
      <c r="C129" s="11" t="s">
        <v>484</v>
      </c>
      <c r="D129" s="11" t="s">
        <v>71</v>
      </c>
      <c r="E129" s="11" t="s">
        <v>65</v>
      </c>
      <c r="F129" s="73">
        <v>193339</v>
      </c>
      <c r="G129" s="73">
        <v>186205</v>
      </c>
      <c r="H129" s="74">
        <v>96.310109999999995</v>
      </c>
      <c r="I129" s="75">
        <v>206340</v>
      </c>
      <c r="J129" s="75">
        <v>199136</v>
      </c>
      <c r="K129" s="76">
        <v>96.508674999999997</v>
      </c>
      <c r="L129" s="31"/>
    </row>
    <row r="130" spans="1:12" ht="25" customHeight="1" x14ac:dyDescent="0.2">
      <c r="A130" s="11" t="s">
        <v>485</v>
      </c>
      <c r="B130" s="11" t="s">
        <v>486</v>
      </c>
      <c r="C130" s="11" t="s">
        <v>487</v>
      </c>
      <c r="D130" s="11" t="s">
        <v>77</v>
      </c>
      <c r="E130" s="11" t="s">
        <v>53</v>
      </c>
      <c r="F130" s="73">
        <v>88501</v>
      </c>
      <c r="G130" s="73">
        <v>86401</v>
      </c>
      <c r="H130" s="74">
        <v>97.62715</v>
      </c>
      <c r="I130" s="75">
        <v>93736</v>
      </c>
      <c r="J130" s="75">
        <v>91374</v>
      </c>
      <c r="K130" s="76">
        <v>97.480157000000005</v>
      </c>
      <c r="L130" s="31"/>
    </row>
    <row r="131" spans="1:12" ht="25" customHeight="1" x14ac:dyDescent="0.2">
      <c r="A131" s="11" t="s">
        <v>488</v>
      </c>
      <c r="B131" s="11" t="s">
        <v>489</v>
      </c>
      <c r="C131" s="11" t="s">
        <v>490</v>
      </c>
      <c r="D131" s="11" t="s">
        <v>77</v>
      </c>
      <c r="E131" s="11" t="s">
        <v>59</v>
      </c>
      <c r="F131" s="73">
        <v>145148</v>
      </c>
      <c r="G131" s="73">
        <v>142778</v>
      </c>
      <c r="H131" s="74">
        <v>98.367180000000005</v>
      </c>
      <c r="I131" s="75">
        <v>153718</v>
      </c>
      <c r="J131" s="75">
        <v>150892</v>
      </c>
      <c r="K131" s="76">
        <v>98.161568000000003</v>
      </c>
      <c r="L131" s="31"/>
    </row>
    <row r="132" spans="1:12" ht="25" customHeight="1" x14ac:dyDescent="0.2">
      <c r="A132" s="11" t="s">
        <v>491</v>
      </c>
      <c r="B132" s="11" t="s">
        <v>492</v>
      </c>
      <c r="C132" s="11" t="s">
        <v>493</v>
      </c>
      <c r="D132" s="11" t="s">
        <v>71</v>
      </c>
      <c r="E132" s="11" t="s">
        <v>65</v>
      </c>
      <c r="F132" s="73">
        <v>185226</v>
      </c>
      <c r="G132" s="73">
        <v>179983</v>
      </c>
      <c r="H132" s="74">
        <v>97.169399999999996</v>
      </c>
      <c r="I132" s="75">
        <v>199517</v>
      </c>
      <c r="J132" s="75">
        <v>191682</v>
      </c>
      <c r="K132" s="76">
        <v>96.073015999999996</v>
      </c>
      <c r="L132" s="31"/>
    </row>
    <row r="133" spans="1:12" ht="25" customHeight="1" x14ac:dyDescent="0.2">
      <c r="A133" s="11" t="s">
        <v>494</v>
      </c>
      <c r="B133" s="11" t="s">
        <v>495</v>
      </c>
      <c r="C133" s="11" t="s">
        <v>496</v>
      </c>
      <c r="D133" s="11" t="s">
        <v>77</v>
      </c>
      <c r="E133" s="11" t="s">
        <v>55</v>
      </c>
      <c r="F133" s="73">
        <v>153137</v>
      </c>
      <c r="G133" s="73">
        <v>150210</v>
      </c>
      <c r="H133" s="74">
        <v>98.088639999999998</v>
      </c>
      <c r="I133" s="75">
        <v>162520</v>
      </c>
      <c r="J133" s="75">
        <v>159355</v>
      </c>
      <c r="K133" s="76">
        <v>98.052547000000004</v>
      </c>
      <c r="L133" s="31"/>
    </row>
    <row r="134" spans="1:12" ht="25" customHeight="1" x14ac:dyDescent="0.2">
      <c r="A134" s="11" t="s">
        <v>497</v>
      </c>
      <c r="B134" s="11" t="s">
        <v>498</v>
      </c>
      <c r="C134" s="11" t="s">
        <v>499</v>
      </c>
      <c r="D134" s="11" t="s">
        <v>77</v>
      </c>
      <c r="E134" s="11" t="s">
        <v>49</v>
      </c>
      <c r="F134" s="73">
        <v>51613</v>
      </c>
      <c r="G134" s="73">
        <v>48701</v>
      </c>
      <c r="H134" s="74">
        <v>94.358009999999993</v>
      </c>
      <c r="I134" s="75">
        <v>54384</v>
      </c>
      <c r="J134" s="75">
        <v>51234</v>
      </c>
      <c r="K134" s="76">
        <v>94.207854999999995</v>
      </c>
      <c r="L134" s="31"/>
    </row>
    <row r="135" spans="1:12" ht="25" customHeight="1" x14ac:dyDescent="0.2">
      <c r="A135" s="11" t="s">
        <v>500</v>
      </c>
      <c r="B135" s="11" t="s">
        <v>501</v>
      </c>
      <c r="C135" s="11" t="s">
        <v>502</v>
      </c>
      <c r="D135" s="11" t="s">
        <v>77</v>
      </c>
      <c r="E135" s="11" t="s">
        <v>55</v>
      </c>
      <c r="F135" s="73">
        <v>89789</v>
      </c>
      <c r="G135" s="73">
        <v>85957</v>
      </c>
      <c r="H135" s="74">
        <v>95.732219999999998</v>
      </c>
      <c r="I135" s="75">
        <v>95620</v>
      </c>
      <c r="J135" s="75">
        <v>91263</v>
      </c>
      <c r="K135" s="76">
        <v>95.443421000000001</v>
      </c>
      <c r="L135" s="31"/>
    </row>
    <row r="136" spans="1:12" ht="25" customHeight="1" x14ac:dyDescent="0.2">
      <c r="A136" s="11" t="s">
        <v>503</v>
      </c>
      <c r="B136" s="11" t="s">
        <v>504</v>
      </c>
      <c r="C136" s="11" t="s">
        <v>505</v>
      </c>
      <c r="D136" s="11" t="s">
        <v>75</v>
      </c>
      <c r="E136" s="11" t="s">
        <v>59</v>
      </c>
      <c r="F136" s="73">
        <v>133773</v>
      </c>
      <c r="G136" s="73">
        <v>127612</v>
      </c>
      <c r="H136" s="74">
        <v>95.394440000000003</v>
      </c>
      <c r="I136" s="75">
        <v>148269</v>
      </c>
      <c r="J136" s="75">
        <v>140289</v>
      </c>
      <c r="K136" s="76">
        <v>94.617890000000003</v>
      </c>
      <c r="L136" s="31"/>
    </row>
    <row r="137" spans="1:12" ht="25" customHeight="1" x14ac:dyDescent="0.2">
      <c r="A137" s="11" t="s">
        <v>506</v>
      </c>
      <c r="B137" s="11" t="s">
        <v>507</v>
      </c>
      <c r="C137" s="11" t="s">
        <v>508</v>
      </c>
      <c r="D137" s="11" t="s">
        <v>75</v>
      </c>
      <c r="E137" s="11" t="s">
        <v>57</v>
      </c>
      <c r="F137" s="73">
        <v>2410</v>
      </c>
      <c r="G137" s="73">
        <v>2325</v>
      </c>
      <c r="H137" s="74">
        <v>96.473029999999994</v>
      </c>
      <c r="I137" s="75">
        <v>2759</v>
      </c>
      <c r="J137" s="75">
        <v>2628</v>
      </c>
      <c r="K137" s="76">
        <v>95.251902000000001</v>
      </c>
      <c r="L137" s="31"/>
    </row>
    <row r="138" spans="1:12" ht="25" customHeight="1" x14ac:dyDescent="0.2">
      <c r="A138" s="11" t="s">
        <v>509</v>
      </c>
      <c r="B138" s="11" t="s">
        <v>510</v>
      </c>
      <c r="C138" s="11" t="s">
        <v>511</v>
      </c>
      <c r="D138" s="11" t="s">
        <v>69</v>
      </c>
      <c r="E138" s="11" t="s">
        <v>65</v>
      </c>
      <c r="F138" s="73">
        <v>162057</v>
      </c>
      <c r="G138" s="73">
        <v>151860</v>
      </c>
      <c r="H138" s="74">
        <v>93.707769999999996</v>
      </c>
      <c r="I138" s="75">
        <v>171844</v>
      </c>
      <c r="J138" s="75">
        <v>159559</v>
      </c>
      <c r="K138" s="76">
        <v>92.851073999999997</v>
      </c>
      <c r="L138" s="31"/>
    </row>
    <row r="139" spans="1:12" ht="25" customHeight="1" x14ac:dyDescent="0.2">
      <c r="A139" s="11" t="s">
        <v>512</v>
      </c>
      <c r="B139" s="11" t="s">
        <v>513</v>
      </c>
      <c r="C139" s="11" t="s">
        <v>514</v>
      </c>
      <c r="D139" s="11" t="s">
        <v>69</v>
      </c>
      <c r="E139" s="11" t="s">
        <v>65</v>
      </c>
      <c r="F139" s="73">
        <v>153592</v>
      </c>
      <c r="G139" s="73">
        <v>148125</v>
      </c>
      <c r="H139" s="74">
        <v>96.440569999999994</v>
      </c>
      <c r="I139" s="75">
        <v>162752</v>
      </c>
      <c r="J139" s="75">
        <v>148366</v>
      </c>
      <c r="K139" s="76">
        <v>91.160784000000007</v>
      </c>
      <c r="L139" s="31" t="s">
        <v>39</v>
      </c>
    </row>
    <row r="140" spans="1:12" ht="25" customHeight="1" x14ac:dyDescent="0.2">
      <c r="A140" s="11" t="s">
        <v>515</v>
      </c>
      <c r="B140" s="11" t="s">
        <v>516</v>
      </c>
      <c r="C140" s="11" t="s">
        <v>517</v>
      </c>
      <c r="D140" s="11" t="s">
        <v>77</v>
      </c>
      <c r="E140" s="11" t="s">
        <v>55</v>
      </c>
      <c r="F140" s="73">
        <v>120050</v>
      </c>
      <c r="G140" s="73">
        <v>116542</v>
      </c>
      <c r="H140" s="74">
        <v>97.077879999999993</v>
      </c>
      <c r="I140" s="75">
        <v>133354</v>
      </c>
      <c r="J140" s="75">
        <v>129458</v>
      </c>
      <c r="K140" s="76">
        <v>97.078451999999999</v>
      </c>
      <c r="L140" s="31"/>
    </row>
    <row r="141" spans="1:12" ht="25" customHeight="1" x14ac:dyDescent="0.2">
      <c r="A141" s="11" t="s">
        <v>518</v>
      </c>
      <c r="B141" s="11" t="s">
        <v>519</v>
      </c>
      <c r="C141" s="11" t="s">
        <v>520</v>
      </c>
      <c r="D141" s="11" t="s">
        <v>75</v>
      </c>
      <c r="E141" s="11" t="s">
        <v>61</v>
      </c>
      <c r="F141" s="73">
        <v>140685</v>
      </c>
      <c r="G141" s="73">
        <v>129942</v>
      </c>
      <c r="H141" s="74">
        <v>92.363789999999995</v>
      </c>
      <c r="I141" s="75">
        <v>149647</v>
      </c>
      <c r="J141" s="75">
        <v>137412</v>
      </c>
      <c r="K141" s="76">
        <v>91.824091999999993</v>
      </c>
      <c r="L141" s="31"/>
    </row>
    <row r="142" spans="1:12" ht="25" customHeight="1" x14ac:dyDescent="0.2">
      <c r="A142" s="11" t="s">
        <v>521</v>
      </c>
      <c r="B142" s="11" t="s">
        <v>522</v>
      </c>
      <c r="C142" s="11" t="s">
        <v>523</v>
      </c>
      <c r="D142" s="11" t="s">
        <v>71</v>
      </c>
      <c r="E142" s="11" t="s">
        <v>65</v>
      </c>
      <c r="F142" s="73">
        <v>158115</v>
      </c>
      <c r="G142" s="73">
        <v>154779</v>
      </c>
      <c r="H142" s="74">
        <v>97.890140000000002</v>
      </c>
      <c r="I142" s="75">
        <v>167369</v>
      </c>
      <c r="J142" s="75">
        <v>164133</v>
      </c>
      <c r="K142" s="76">
        <v>98.066547</v>
      </c>
      <c r="L142" s="31"/>
    </row>
    <row r="143" spans="1:12" ht="25" customHeight="1" x14ac:dyDescent="0.2">
      <c r="A143" s="11" t="s">
        <v>524</v>
      </c>
      <c r="B143" s="11" t="s">
        <v>525</v>
      </c>
      <c r="C143" s="11" t="s">
        <v>526</v>
      </c>
      <c r="D143" s="11" t="s">
        <v>73</v>
      </c>
      <c r="E143" s="11" t="s">
        <v>61</v>
      </c>
      <c r="F143" s="73">
        <v>285344</v>
      </c>
      <c r="G143" s="73">
        <v>268518</v>
      </c>
      <c r="H143" s="74">
        <v>94.103260000000006</v>
      </c>
      <c r="I143" s="75">
        <v>304380</v>
      </c>
      <c r="J143" s="75">
        <v>286655</v>
      </c>
      <c r="K143" s="76">
        <v>94.176687000000001</v>
      </c>
      <c r="L143" s="31"/>
    </row>
    <row r="144" spans="1:12" ht="25" customHeight="1" x14ac:dyDescent="0.2">
      <c r="A144" s="11" t="s">
        <v>527</v>
      </c>
      <c r="B144" s="11" t="s">
        <v>528</v>
      </c>
      <c r="C144" s="11" t="s">
        <v>529</v>
      </c>
      <c r="D144" s="11" t="s">
        <v>73</v>
      </c>
      <c r="E144" s="11" t="s">
        <v>49</v>
      </c>
      <c r="F144" s="73">
        <v>91310</v>
      </c>
      <c r="G144" s="73">
        <v>80975</v>
      </c>
      <c r="H144" s="74">
        <v>88.68141</v>
      </c>
      <c r="I144" s="75">
        <v>97178</v>
      </c>
      <c r="J144" s="75">
        <v>88472</v>
      </c>
      <c r="K144" s="76">
        <v>91.041182000000006</v>
      </c>
      <c r="L144" s="31"/>
    </row>
    <row r="145" spans="1:12" ht="25" customHeight="1" x14ac:dyDescent="0.2">
      <c r="A145" s="11" t="s">
        <v>530</v>
      </c>
      <c r="B145" s="11" t="s">
        <v>531</v>
      </c>
      <c r="C145" s="11" t="s">
        <v>532</v>
      </c>
      <c r="D145" s="11" t="s">
        <v>69</v>
      </c>
      <c r="E145" s="11" t="s">
        <v>65</v>
      </c>
      <c r="F145" s="73">
        <v>217742</v>
      </c>
      <c r="G145" s="73">
        <v>203197</v>
      </c>
      <c r="H145" s="74">
        <v>93.320080000000004</v>
      </c>
      <c r="I145" s="75">
        <v>232483</v>
      </c>
      <c r="J145" s="75">
        <v>214894</v>
      </c>
      <c r="K145" s="76">
        <v>92.434285000000003</v>
      </c>
      <c r="L145" s="31"/>
    </row>
    <row r="146" spans="1:12" ht="25" customHeight="1" x14ac:dyDescent="0.2">
      <c r="A146" s="11" t="s">
        <v>533</v>
      </c>
      <c r="B146" s="11" t="s">
        <v>534</v>
      </c>
      <c r="C146" s="11" t="s">
        <v>535</v>
      </c>
      <c r="D146" s="11" t="s">
        <v>77</v>
      </c>
      <c r="E146" s="11" t="s">
        <v>49</v>
      </c>
      <c r="F146" s="73">
        <v>99896</v>
      </c>
      <c r="G146" s="73">
        <v>94060</v>
      </c>
      <c r="H146" s="74">
        <v>94.157920000000004</v>
      </c>
      <c r="I146" s="75">
        <v>106446</v>
      </c>
      <c r="J146" s="75">
        <v>99987</v>
      </c>
      <c r="K146" s="76">
        <v>93.932134000000005</v>
      </c>
      <c r="L146" s="31"/>
    </row>
    <row r="147" spans="1:12" ht="25" customHeight="1" x14ac:dyDescent="0.2">
      <c r="A147" s="11" t="s">
        <v>536</v>
      </c>
      <c r="B147" s="11" t="s">
        <v>537</v>
      </c>
      <c r="C147" s="11" t="s">
        <v>538</v>
      </c>
      <c r="D147" s="11" t="s">
        <v>73</v>
      </c>
      <c r="E147" s="11" t="s">
        <v>61</v>
      </c>
      <c r="F147" s="73">
        <v>501964</v>
      </c>
      <c r="G147" s="73">
        <v>472148</v>
      </c>
      <c r="H147" s="74">
        <v>94.060130000000001</v>
      </c>
      <c r="I147" s="75">
        <v>537775</v>
      </c>
      <c r="J147" s="75">
        <v>504215</v>
      </c>
      <c r="K147" s="76">
        <v>93.759471000000005</v>
      </c>
      <c r="L147" s="31"/>
    </row>
    <row r="148" spans="1:12" ht="25" customHeight="1" x14ac:dyDescent="0.2">
      <c r="A148" s="11" t="s">
        <v>539</v>
      </c>
      <c r="B148" s="11" t="s">
        <v>540</v>
      </c>
      <c r="C148" s="11" t="s">
        <v>541</v>
      </c>
      <c r="D148" s="11" t="s">
        <v>75</v>
      </c>
      <c r="E148" s="11" t="s">
        <v>53</v>
      </c>
      <c r="F148" s="73">
        <v>185390</v>
      </c>
      <c r="G148" s="73">
        <v>173103</v>
      </c>
      <c r="H148" s="74">
        <v>93.372349999999997</v>
      </c>
      <c r="I148" s="75">
        <v>203591</v>
      </c>
      <c r="J148" s="75">
        <v>188652</v>
      </c>
      <c r="K148" s="76">
        <v>92.662249000000003</v>
      </c>
      <c r="L148" s="31"/>
    </row>
    <row r="149" spans="1:12" ht="25" customHeight="1" x14ac:dyDescent="0.2">
      <c r="A149" s="11" t="s">
        <v>542</v>
      </c>
      <c r="B149" s="11" t="s">
        <v>543</v>
      </c>
      <c r="C149" s="11" t="s">
        <v>544</v>
      </c>
      <c r="D149" s="11" t="s">
        <v>77</v>
      </c>
      <c r="E149" s="11" t="s">
        <v>59</v>
      </c>
      <c r="F149" s="73">
        <v>98188</v>
      </c>
      <c r="G149" s="73">
        <v>96077</v>
      </c>
      <c r="H149" s="74">
        <v>97.850040000000007</v>
      </c>
      <c r="I149" s="75">
        <v>103838</v>
      </c>
      <c r="J149" s="75">
        <v>101616</v>
      </c>
      <c r="K149" s="76">
        <v>97.860128000000003</v>
      </c>
      <c r="L149" s="31"/>
    </row>
    <row r="150" spans="1:12" ht="25" customHeight="1" x14ac:dyDescent="0.2">
      <c r="A150" s="11" t="s">
        <v>545</v>
      </c>
      <c r="B150" s="11" t="s">
        <v>546</v>
      </c>
      <c r="C150" s="11" t="s">
        <v>547</v>
      </c>
      <c r="D150" s="11" t="s">
        <v>69</v>
      </c>
      <c r="E150" s="11" t="s">
        <v>65</v>
      </c>
      <c r="F150" s="73">
        <v>195252</v>
      </c>
      <c r="G150" s="73">
        <v>179210</v>
      </c>
      <c r="H150" s="74">
        <v>91.783950000000004</v>
      </c>
      <c r="I150" s="75">
        <v>206865</v>
      </c>
      <c r="J150" s="75">
        <v>189688</v>
      </c>
      <c r="K150" s="76">
        <v>91.696517</v>
      </c>
      <c r="L150" s="31"/>
    </row>
    <row r="151" spans="1:12" ht="25" customHeight="1" x14ac:dyDescent="0.2">
      <c r="A151" s="11" t="s">
        <v>548</v>
      </c>
      <c r="B151" s="11" t="s">
        <v>549</v>
      </c>
      <c r="C151" s="11" t="s">
        <v>550</v>
      </c>
      <c r="D151" s="11" t="s">
        <v>77</v>
      </c>
      <c r="E151" s="11" t="s">
        <v>63</v>
      </c>
      <c r="F151" s="73">
        <v>89196</v>
      </c>
      <c r="G151" s="73">
        <v>87673</v>
      </c>
      <c r="H151" s="74">
        <v>98.292519999999996</v>
      </c>
      <c r="I151" s="75">
        <v>95364</v>
      </c>
      <c r="J151" s="75">
        <v>93554</v>
      </c>
      <c r="K151" s="76">
        <v>98.102008999999995</v>
      </c>
      <c r="L151" s="31"/>
    </row>
    <row r="152" spans="1:12" ht="25" customHeight="1" x14ac:dyDescent="0.2">
      <c r="A152" s="11" t="s">
        <v>551</v>
      </c>
      <c r="B152" s="11" t="s">
        <v>552</v>
      </c>
      <c r="C152" s="11" t="s">
        <v>553</v>
      </c>
      <c r="D152" s="11" t="s">
        <v>77</v>
      </c>
      <c r="E152" s="11" t="s">
        <v>53</v>
      </c>
      <c r="F152" s="73">
        <v>56742</v>
      </c>
      <c r="G152" s="73">
        <v>53754</v>
      </c>
      <c r="H152" s="74">
        <v>94.734059999999999</v>
      </c>
      <c r="I152" s="75">
        <v>59297</v>
      </c>
      <c r="J152" s="75">
        <v>55775</v>
      </c>
      <c r="K152" s="76">
        <v>94.060406999999998</v>
      </c>
      <c r="L152" s="31"/>
    </row>
    <row r="153" spans="1:12" ht="25" customHeight="1" x14ac:dyDescent="0.2">
      <c r="A153" s="11" t="s">
        <v>554</v>
      </c>
      <c r="B153" s="11" t="s">
        <v>555</v>
      </c>
      <c r="C153" s="11" t="s">
        <v>556</v>
      </c>
      <c r="D153" s="11" t="s">
        <v>73</v>
      </c>
      <c r="E153" s="11" t="s">
        <v>49</v>
      </c>
      <c r="F153" s="73">
        <v>300989</v>
      </c>
      <c r="G153" s="73">
        <v>261353</v>
      </c>
      <c r="H153" s="74">
        <v>86.831410000000005</v>
      </c>
      <c r="I153" s="75">
        <v>321698</v>
      </c>
      <c r="J153" s="75">
        <v>279382</v>
      </c>
      <c r="K153" s="76">
        <v>86.846047999999996</v>
      </c>
      <c r="L153" s="31"/>
    </row>
    <row r="154" spans="1:12" ht="25" customHeight="1" x14ac:dyDescent="0.2">
      <c r="A154" s="11" t="s">
        <v>557</v>
      </c>
      <c r="B154" s="11" t="s">
        <v>558</v>
      </c>
      <c r="C154" s="11" t="s">
        <v>559</v>
      </c>
      <c r="D154" s="11" t="s">
        <v>75</v>
      </c>
      <c r="E154" s="11" t="s">
        <v>55</v>
      </c>
      <c r="F154" s="73">
        <v>129596</v>
      </c>
      <c r="G154" s="73">
        <v>123409</v>
      </c>
      <c r="H154" s="74">
        <v>95.225930000000005</v>
      </c>
      <c r="I154" s="75">
        <v>136932</v>
      </c>
      <c r="J154" s="75">
        <v>132233</v>
      </c>
      <c r="K154" s="76">
        <v>96.568369000000004</v>
      </c>
      <c r="L154" s="31"/>
    </row>
    <row r="155" spans="1:12" ht="25" customHeight="1" x14ac:dyDescent="0.2">
      <c r="A155" s="11" t="s">
        <v>560</v>
      </c>
      <c r="B155" s="11" t="s">
        <v>561</v>
      </c>
      <c r="C155" s="11" t="s">
        <v>562</v>
      </c>
      <c r="D155" s="11" t="s">
        <v>77</v>
      </c>
      <c r="E155" s="11" t="s">
        <v>59</v>
      </c>
      <c r="F155" s="73">
        <v>157869</v>
      </c>
      <c r="G155" s="73">
        <v>152555</v>
      </c>
      <c r="H155" s="74">
        <v>96.633920000000003</v>
      </c>
      <c r="I155" s="75">
        <v>167388</v>
      </c>
      <c r="J155" s="75">
        <v>161057</v>
      </c>
      <c r="K155" s="76">
        <v>96.217769000000004</v>
      </c>
      <c r="L155" s="31"/>
    </row>
    <row r="156" spans="1:12" ht="25" customHeight="1" x14ac:dyDescent="0.2">
      <c r="A156" s="11" t="s">
        <v>563</v>
      </c>
      <c r="B156" s="11" t="s">
        <v>564</v>
      </c>
      <c r="C156" s="11" t="s">
        <v>565</v>
      </c>
      <c r="D156" s="11" t="s">
        <v>77</v>
      </c>
      <c r="E156" s="11" t="s">
        <v>55</v>
      </c>
      <c r="F156" s="73">
        <v>58504</v>
      </c>
      <c r="G156" s="73">
        <v>57278</v>
      </c>
      <c r="H156" s="74">
        <v>97.904420000000002</v>
      </c>
      <c r="I156" s="75">
        <v>61962</v>
      </c>
      <c r="J156" s="75">
        <v>60722</v>
      </c>
      <c r="K156" s="76">
        <v>97.998773</v>
      </c>
      <c r="L156" s="31"/>
    </row>
    <row r="157" spans="1:12" ht="25" customHeight="1" x14ac:dyDescent="0.2">
      <c r="A157" s="11" t="s">
        <v>566</v>
      </c>
      <c r="B157" s="11" t="s">
        <v>567</v>
      </c>
      <c r="C157" s="11" t="s">
        <v>568</v>
      </c>
      <c r="D157" s="11" t="s">
        <v>77</v>
      </c>
      <c r="E157" s="11" t="s">
        <v>63</v>
      </c>
      <c r="F157" s="73">
        <v>72130</v>
      </c>
      <c r="G157" s="73">
        <v>70701</v>
      </c>
      <c r="H157" s="74">
        <v>98.01885</v>
      </c>
      <c r="I157" s="75">
        <v>77545</v>
      </c>
      <c r="J157" s="75">
        <v>75622</v>
      </c>
      <c r="K157" s="76">
        <v>97.520149000000004</v>
      </c>
      <c r="L157" s="31"/>
    </row>
    <row r="158" spans="1:12" ht="25" customHeight="1" x14ac:dyDescent="0.2">
      <c r="A158" s="11" t="s">
        <v>569</v>
      </c>
      <c r="B158" s="11" t="s">
        <v>570</v>
      </c>
      <c r="C158" s="11" t="s">
        <v>571</v>
      </c>
      <c r="D158" s="11" t="s">
        <v>73</v>
      </c>
      <c r="E158" s="11" t="s">
        <v>49</v>
      </c>
      <c r="F158" s="73">
        <v>287824</v>
      </c>
      <c r="G158" s="73">
        <v>254392</v>
      </c>
      <c r="H158" s="74">
        <v>88.384569999999997</v>
      </c>
      <c r="I158" s="75">
        <v>308630</v>
      </c>
      <c r="J158" s="75">
        <v>273520</v>
      </c>
      <c r="K158" s="76">
        <v>88.623918000000003</v>
      </c>
      <c r="L158" s="31"/>
    </row>
    <row r="159" spans="1:12" ht="25" customHeight="1" x14ac:dyDescent="0.2">
      <c r="A159" s="11" t="s">
        <v>572</v>
      </c>
      <c r="B159" s="11" t="s">
        <v>573</v>
      </c>
      <c r="C159" s="11" t="s">
        <v>574</v>
      </c>
      <c r="D159" s="11" t="s">
        <v>77</v>
      </c>
      <c r="E159" s="11" t="s">
        <v>53</v>
      </c>
      <c r="F159" s="73">
        <v>75558</v>
      </c>
      <c r="G159" s="73">
        <v>72973</v>
      </c>
      <c r="H159" s="74">
        <v>96.578789999999998</v>
      </c>
      <c r="I159" s="75">
        <v>79789</v>
      </c>
      <c r="J159" s="75">
        <v>76990</v>
      </c>
      <c r="K159" s="76">
        <v>96.491996999999998</v>
      </c>
      <c r="L159" s="31"/>
    </row>
    <row r="160" spans="1:12" ht="25" customHeight="1" x14ac:dyDescent="0.2">
      <c r="A160" s="11" t="s">
        <v>575</v>
      </c>
      <c r="B160" s="11" t="s">
        <v>576</v>
      </c>
      <c r="C160" s="11" t="s">
        <v>577</v>
      </c>
      <c r="D160" s="11" t="s">
        <v>75</v>
      </c>
      <c r="E160" s="11" t="s">
        <v>59</v>
      </c>
      <c r="F160" s="73">
        <v>195319</v>
      </c>
      <c r="G160" s="73">
        <v>183473</v>
      </c>
      <c r="H160" s="74">
        <v>93.935050000000004</v>
      </c>
      <c r="I160" s="75">
        <v>207866</v>
      </c>
      <c r="J160" s="75">
        <v>194192</v>
      </c>
      <c r="K160" s="76">
        <v>93.421723</v>
      </c>
      <c r="L160" s="31"/>
    </row>
    <row r="161" spans="1:12" ht="25" customHeight="1" x14ac:dyDescent="0.2">
      <c r="A161" s="11" t="s">
        <v>578</v>
      </c>
      <c r="B161" s="11" t="s">
        <v>579</v>
      </c>
      <c r="C161" s="11" t="s">
        <v>580</v>
      </c>
      <c r="D161" s="11" t="s">
        <v>77</v>
      </c>
      <c r="E161" s="11" t="s">
        <v>53</v>
      </c>
      <c r="F161" s="73">
        <v>45713</v>
      </c>
      <c r="G161" s="73">
        <v>44842</v>
      </c>
      <c r="H161" s="74">
        <v>98.094629999999995</v>
      </c>
      <c r="I161" s="75">
        <v>49189</v>
      </c>
      <c r="J161" s="75">
        <v>48183</v>
      </c>
      <c r="K161" s="76">
        <v>97.954826999999995</v>
      </c>
      <c r="L161" s="31"/>
    </row>
    <row r="162" spans="1:12" ht="25" customHeight="1" x14ac:dyDescent="0.2">
      <c r="A162" s="11" t="s">
        <v>581</v>
      </c>
      <c r="B162" s="11" t="s">
        <v>582</v>
      </c>
      <c r="C162" s="11" t="s">
        <v>583</v>
      </c>
      <c r="D162" s="11" t="s">
        <v>71</v>
      </c>
      <c r="E162" s="11" t="s">
        <v>65</v>
      </c>
      <c r="F162" s="73">
        <v>159406</v>
      </c>
      <c r="G162" s="73">
        <v>153095</v>
      </c>
      <c r="H162" s="74">
        <v>96.040930000000003</v>
      </c>
      <c r="I162" s="75">
        <v>169202</v>
      </c>
      <c r="J162" s="75">
        <v>161394</v>
      </c>
      <c r="K162" s="76">
        <v>95.385396999999998</v>
      </c>
      <c r="L162" s="31"/>
    </row>
    <row r="163" spans="1:12" ht="25" customHeight="1" x14ac:dyDescent="0.2">
      <c r="A163" s="11" t="s">
        <v>584</v>
      </c>
      <c r="B163" s="11" t="s">
        <v>585</v>
      </c>
      <c r="C163" s="11" t="s">
        <v>586</v>
      </c>
      <c r="D163" s="11" t="s">
        <v>77</v>
      </c>
      <c r="E163" s="11" t="s">
        <v>57</v>
      </c>
      <c r="F163" s="73">
        <v>74304</v>
      </c>
      <c r="G163" s="73">
        <v>72487</v>
      </c>
      <c r="H163" s="74">
        <v>97.554640000000006</v>
      </c>
      <c r="I163" s="75">
        <v>79320</v>
      </c>
      <c r="J163" s="75">
        <v>77184</v>
      </c>
      <c r="K163" s="76">
        <v>97.307109999999994</v>
      </c>
      <c r="L163" s="31"/>
    </row>
    <row r="164" spans="1:12" ht="25" customHeight="1" x14ac:dyDescent="0.2">
      <c r="A164" s="11" t="s">
        <v>587</v>
      </c>
      <c r="B164" s="11" t="s">
        <v>588</v>
      </c>
      <c r="C164" s="11" t="s">
        <v>589</v>
      </c>
      <c r="D164" s="11" t="s">
        <v>77</v>
      </c>
      <c r="E164" s="11" t="s">
        <v>55</v>
      </c>
      <c r="F164" s="73">
        <v>87740</v>
      </c>
      <c r="G164" s="73">
        <v>86505</v>
      </c>
      <c r="H164" s="74">
        <v>98.592429999999993</v>
      </c>
      <c r="I164" s="75">
        <v>94473</v>
      </c>
      <c r="J164" s="75">
        <v>93207</v>
      </c>
      <c r="K164" s="76">
        <v>98.659934000000007</v>
      </c>
      <c r="L164" s="31"/>
    </row>
    <row r="165" spans="1:12" ht="25" customHeight="1" x14ac:dyDescent="0.2">
      <c r="A165" s="11" t="s">
        <v>590</v>
      </c>
      <c r="B165" s="11" t="s">
        <v>591</v>
      </c>
      <c r="C165" s="11" t="s">
        <v>592</v>
      </c>
      <c r="D165" s="11" t="s">
        <v>77</v>
      </c>
      <c r="E165" s="11" t="s">
        <v>59</v>
      </c>
      <c r="F165" s="73">
        <v>149879</v>
      </c>
      <c r="G165" s="73">
        <v>147124</v>
      </c>
      <c r="H165" s="74">
        <v>98.161850000000001</v>
      </c>
      <c r="I165" s="75">
        <v>159198</v>
      </c>
      <c r="J165" s="75">
        <v>156063</v>
      </c>
      <c r="K165" s="76">
        <v>98.030754000000002</v>
      </c>
      <c r="L165" s="31"/>
    </row>
    <row r="166" spans="1:12" ht="25" customHeight="1" x14ac:dyDescent="0.2">
      <c r="A166" s="11" t="s">
        <v>593</v>
      </c>
      <c r="B166" s="11" t="s">
        <v>594</v>
      </c>
      <c r="C166" s="11" t="s">
        <v>595</v>
      </c>
      <c r="D166" s="11" t="s">
        <v>75</v>
      </c>
      <c r="E166" s="11" t="s">
        <v>51</v>
      </c>
      <c r="F166" s="73">
        <v>88520</v>
      </c>
      <c r="G166" s="73">
        <v>82347</v>
      </c>
      <c r="H166" s="74">
        <v>93.026430000000005</v>
      </c>
      <c r="I166" s="75">
        <v>94610</v>
      </c>
      <c r="J166" s="75">
        <v>87850</v>
      </c>
      <c r="K166" s="76">
        <v>92.854877000000002</v>
      </c>
      <c r="L166" s="31"/>
    </row>
    <row r="167" spans="1:12" ht="25" customHeight="1" x14ac:dyDescent="0.2">
      <c r="A167" s="11" t="s">
        <v>596</v>
      </c>
      <c r="B167" s="11" t="s">
        <v>597</v>
      </c>
      <c r="C167" s="11" t="s">
        <v>598</v>
      </c>
      <c r="D167" s="11" t="s">
        <v>75</v>
      </c>
      <c r="E167" s="11" t="s">
        <v>59</v>
      </c>
      <c r="F167" s="73">
        <v>212633</v>
      </c>
      <c r="G167" s="73">
        <v>205958</v>
      </c>
      <c r="H167" s="74">
        <v>96.860789999999994</v>
      </c>
      <c r="I167" s="75">
        <v>229521</v>
      </c>
      <c r="J167" s="75">
        <v>221556</v>
      </c>
      <c r="K167" s="76">
        <v>96.529729000000003</v>
      </c>
      <c r="L167" s="31"/>
    </row>
    <row r="168" spans="1:12" ht="25" customHeight="1" x14ac:dyDescent="0.2">
      <c r="A168" s="11" t="s">
        <v>599</v>
      </c>
      <c r="B168" s="11" t="s">
        <v>600</v>
      </c>
      <c r="C168" s="11" t="s">
        <v>601</v>
      </c>
      <c r="D168" s="11" t="s">
        <v>77</v>
      </c>
      <c r="E168" s="11" t="s">
        <v>59</v>
      </c>
      <c r="F168" s="73">
        <v>97380</v>
      </c>
      <c r="G168" s="73">
        <v>95702</v>
      </c>
      <c r="H168" s="74">
        <v>98.276849999999996</v>
      </c>
      <c r="I168" s="75">
        <v>103002</v>
      </c>
      <c r="J168" s="75">
        <v>100950</v>
      </c>
      <c r="K168" s="76">
        <v>98.007805000000005</v>
      </c>
      <c r="L168" s="31"/>
    </row>
    <row r="169" spans="1:12" ht="25" customHeight="1" x14ac:dyDescent="0.2">
      <c r="A169" s="11" t="s">
        <v>602</v>
      </c>
      <c r="B169" s="11" t="s">
        <v>603</v>
      </c>
      <c r="C169" s="11" t="s">
        <v>604</v>
      </c>
      <c r="D169" s="11" t="s">
        <v>77</v>
      </c>
      <c r="E169" s="11" t="s">
        <v>59</v>
      </c>
      <c r="F169" s="73">
        <v>160804</v>
      </c>
      <c r="G169" s="73">
        <v>158632</v>
      </c>
      <c r="H169" s="74">
        <v>98.649289999999993</v>
      </c>
      <c r="I169" s="75">
        <v>173057</v>
      </c>
      <c r="J169" s="75">
        <v>170448</v>
      </c>
      <c r="K169" s="76">
        <v>98.492403999999993</v>
      </c>
      <c r="L169" s="31"/>
    </row>
    <row r="170" spans="1:12" ht="25" customHeight="1" x14ac:dyDescent="0.2">
      <c r="A170" s="11" t="s">
        <v>605</v>
      </c>
      <c r="B170" s="11" t="s">
        <v>606</v>
      </c>
      <c r="C170" s="11" t="s">
        <v>607</v>
      </c>
      <c r="D170" s="11" t="s">
        <v>77</v>
      </c>
      <c r="E170" s="11" t="s">
        <v>53</v>
      </c>
      <c r="F170" s="73">
        <v>104897</v>
      </c>
      <c r="G170" s="73">
        <v>101926</v>
      </c>
      <c r="H170" s="74">
        <v>97.167699999999996</v>
      </c>
      <c r="I170" s="75">
        <v>111507</v>
      </c>
      <c r="J170" s="75">
        <v>108257</v>
      </c>
      <c r="K170" s="76">
        <v>97.085384000000005</v>
      </c>
      <c r="L170" s="31"/>
    </row>
    <row r="171" spans="1:12" ht="25" customHeight="1" x14ac:dyDescent="0.2">
      <c r="A171" s="11" t="s">
        <v>608</v>
      </c>
      <c r="B171" s="11" t="s">
        <v>609</v>
      </c>
      <c r="C171" s="11" t="s">
        <v>610</v>
      </c>
      <c r="D171" s="11" t="s">
        <v>73</v>
      </c>
      <c r="E171" s="11" t="s">
        <v>51</v>
      </c>
      <c r="F171" s="73">
        <v>170153</v>
      </c>
      <c r="G171" s="73">
        <v>164796</v>
      </c>
      <c r="H171" s="74">
        <v>96.851659999999995</v>
      </c>
      <c r="I171" s="75">
        <v>184521</v>
      </c>
      <c r="J171" s="75">
        <v>177227</v>
      </c>
      <c r="K171" s="76">
        <v>96.047061999999997</v>
      </c>
      <c r="L171" s="31"/>
    </row>
    <row r="172" spans="1:12" ht="25" customHeight="1" x14ac:dyDescent="0.2">
      <c r="A172" s="11" t="s">
        <v>611</v>
      </c>
      <c r="B172" s="11" t="s">
        <v>612</v>
      </c>
      <c r="C172" s="11" t="s">
        <v>613</v>
      </c>
      <c r="D172" s="11" t="s">
        <v>77</v>
      </c>
      <c r="E172" s="11" t="s">
        <v>63</v>
      </c>
      <c r="F172" s="73">
        <v>83685</v>
      </c>
      <c r="G172" s="73">
        <v>81195</v>
      </c>
      <c r="H172" s="74">
        <v>97.024559999999994</v>
      </c>
      <c r="I172" s="75">
        <v>88607</v>
      </c>
      <c r="J172" s="75">
        <v>85732</v>
      </c>
      <c r="K172" s="76">
        <v>96.755335000000002</v>
      </c>
      <c r="L172" s="31"/>
    </row>
    <row r="173" spans="1:12" ht="25" customHeight="1" x14ac:dyDescent="0.2">
      <c r="A173" s="11" t="s">
        <v>614</v>
      </c>
      <c r="B173" s="11" t="s">
        <v>615</v>
      </c>
      <c r="C173" s="11" t="s">
        <v>616</v>
      </c>
      <c r="D173" s="11" t="s">
        <v>71</v>
      </c>
      <c r="E173" s="11" t="s">
        <v>65</v>
      </c>
      <c r="F173" s="73">
        <v>160736</v>
      </c>
      <c r="G173" s="73">
        <v>144522</v>
      </c>
      <c r="H173" s="74">
        <v>89.912649999999999</v>
      </c>
      <c r="I173" s="75">
        <v>177149</v>
      </c>
      <c r="J173" s="75">
        <v>163925</v>
      </c>
      <c r="K173" s="76">
        <v>92.535096999999993</v>
      </c>
      <c r="L173" s="31"/>
    </row>
    <row r="174" spans="1:12" ht="25" customHeight="1" x14ac:dyDescent="0.2">
      <c r="A174" s="11" t="s">
        <v>617</v>
      </c>
      <c r="B174" s="11" t="s">
        <v>618</v>
      </c>
      <c r="C174" s="11" t="s">
        <v>619</v>
      </c>
      <c r="D174" s="11" t="s">
        <v>77</v>
      </c>
      <c r="E174" s="11" t="s">
        <v>57</v>
      </c>
      <c r="F174" s="73">
        <v>87443</v>
      </c>
      <c r="G174" s="73">
        <v>84520</v>
      </c>
      <c r="H174" s="74">
        <v>96.657250000000005</v>
      </c>
      <c r="I174" s="75">
        <v>95627</v>
      </c>
      <c r="J174" s="75">
        <v>92017</v>
      </c>
      <c r="K174" s="76">
        <v>96.224914999999996</v>
      </c>
      <c r="L174" s="31"/>
    </row>
    <row r="175" spans="1:12" ht="25" customHeight="1" x14ac:dyDescent="0.2">
      <c r="A175" s="11" t="s">
        <v>620</v>
      </c>
      <c r="B175" s="11" t="s">
        <v>621</v>
      </c>
      <c r="C175" s="11" t="s">
        <v>622</v>
      </c>
      <c r="D175" s="11" t="s">
        <v>77</v>
      </c>
      <c r="E175" s="11" t="s">
        <v>53</v>
      </c>
      <c r="F175" s="73">
        <v>76150</v>
      </c>
      <c r="G175" s="73">
        <v>73704</v>
      </c>
      <c r="H175" s="74">
        <v>96.78792</v>
      </c>
      <c r="I175" s="75">
        <v>80902</v>
      </c>
      <c r="J175" s="75">
        <v>78282</v>
      </c>
      <c r="K175" s="76">
        <v>96.761512999999994</v>
      </c>
      <c r="L175" s="31"/>
    </row>
    <row r="176" spans="1:12" ht="25" customHeight="1" x14ac:dyDescent="0.2">
      <c r="A176" s="11" t="s">
        <v>623</v>
      </c>
      <c r="B176" s="11" t="s">
        <v>624</v>
      </c>
      <c r="C176" s="11" t="s">
        <v>625</v>
      </c>
      <c r="D176" s="11" t="s">
        <v>75</v>
      </c>
      <c r="E176" s="11" t="s">
        <v>61</v>
      </c>
      <c r="F176" s="73">
        <v>108133</v>
      </c>
      <c r="G176" s="73">
        <v>99380</v>
      </c>
      <c r="H176" s="74">
        <v>91.905339999999995</v>
      </c>
      <c r="I176" s="75">
        <v>113139</v>
      </c>
      <c r="J176" s="75">
        <v>104123</v>
      </c>
      <c r="K176" s="76">
        <v>92.031041000000002</v>
      </c>
      <c r="L176" s="31"/>
    </row>
    <row r="177" spans="1:12" ht="25" customHeight="1" x14ac:dyDescent="0.2">
      <c r="A177" s="11" t="s">
        <v>626</v>
      </c>
      <c r="B177" s="11" t="s">
        <v>627</v>
      </c>
      <c r="C177" s="11" t="s">
        <v>628</v>
      </c>
      <c r="D177" s="11" t="s">
        <v>77</v>
      </c>
      <c r="E177" s="11" t="s">
        <v>55</v>
      </c>
      <c r="F177" s="73">
        <v>114081</v>
      </c>
      <c r="G177" s="73">
        <v>111059</v>
      </c>
      <c r="H177" s="74">
        <v>97.350999999999999</v>
      </c>
      <c r="I177" s="75">
        <v>121168</v>
      </c>
      <c r="J177" s="75">
        <v>117513</v>
      </c>
      <c r="K177" s="76">
        <v>96.983526999999995</v>
      </c>
      <c r="L177" s="31"/>
    </row>
    <row r="178" spans="1:12" ht="25" customHeight="1" x14ac:dyDescent="0.2">
      <c r="A178" s="11" t="s">
        <v>629</v>
      </c>
      <c r="B178" s="11" t="s">
        <v>630</v>
      </c>
      <c r="C178" s="11" t="s">
        <v>631</v>
      </c>
      <c r="D178" s="11" t="s">
        <v>77</v>
      </c>
      <c r="E178" s="11" t="s">
        <v>53</v>
      </c>
      <c r="F178" s="73">
        <v>86249</v>
      </c>
      <c r="G178" s="73">
        <v>84765</v>
      </c>
      <c r="H178" s="74">
        <v>98.279399999999995</v>
      </c>
      <c r="I178" s="75">
        <v>90735</v>
      </c>
      <c r="J178" s="75">
        <v>88962</v>
      </c>
      <c r="K178" s="76">
        <v>98.045957999999999</v>
      </c>
      <c r="L178" s="31"/>
    </row>
    <row r="179" spans="1:12" ht="25" customHeight="1" x14ac:dyDescent="0.2">
      <c r="A179" s="11" t="s">
        <v>632</v>
      </c>
      <c r="B179" s="11" t="s">
        <v>633</v>
      </c>
      <c r="C179" s="11" t="s">
        <v>634</v>
      </c>
      <c r="D179" s="11" t="s">
        <v>75</v>
      </c>
      <c r="E179" s="11" t="s">
        <v>61</v>
      </c>
      <c r="F179" s="73">
        <v>111782</v>
      </c>
      <c r="G179" s="73">
        <v>105547</v>
      </c>
      <c r="H179" s="74">
        <v>94.422179999999997</v>
      </c>
      <c r="I179" s="75">
        <v>118397</v>
      </c>
      <c r="J179" s="75">
        <v>112422</v>
      </c>
      <c r="K179" s="76">
        <v>94.953418999999997</v>
      </c>
      <c r="L179" s="31"/>
    </row>
    <row r="180" spans="1:12" ht="25" customHeight="1" x14ac:dyDescent="0.2">
      <c r="A180" s="11" t="s">
        <v>635</v>
      </c>
      <c r="B180" s="11" t="s">
        <v>636</v>
      </c>
      <c r="C180" s="11" t="s">
        <v>637</v>
      </c>
      <c r="D180" s="11" t="s">
        <v>77</v>
      </c>
      <c r="E180" s="11" t="s">
        <v>55</v>
      </c>
      <c r="F180" s="73">
        <v>94700</v>
      </c>
      <c r="G180" s="73">
        <v>93152</v>
      </c>
      <c r="H180" s="74">
        <v>98.365359999999995</v>
      </c>
      <c r="I180" s="75">
        <v>108840</v>
      </c>
      <c r="J180" s="75">
        <v>107028</v>
      </c>
      <c r="K180" s="76">
        <v>98.335170000000005</v>
      </c>
      <c r="L180" s="31"/>
    </row>
    <row r="181" spans="1:12" ht="25" customHeight="1" x14ac:dyDescent="0.2">
      <c r="A181" s="11" t="s">
        <v>638</v>
      </c>
      <c r="B181" s="11" t="s">
        <v>639</v>
      </c>
      <c r="C181" s="11" t="s">
        <v>640</v>
      </c>
      <c r="D181" s="11" t="s">
        <v>75</v>
      </c>
      <c r="E181" s="11" t="s">
        <v>53</v>
      </c>
      <c r="F181" s="73">
        <v>258413</v>
      </c>
      <c r="G181" s="73">
        <v>245295</v>
      </c>
      <c r="H181" s="74">
        <v>94.923630000000003</v>
      </c>
      <c r="I181" s="75">
        <v>275805</v>
      </c>
      <c r="J181" s="75">
        <v>261475</v>
      </c>
      <c r="K181" s="76">
        <v>94.804299999999998</v>
      </c>
      <c r="L181" s="31"/>
    </row>
    <row r="182" spans="1:12" ht="25" customHeight="1" x14ac:dyDescent="0.2">
      <c r="A182" s="11" t="s">
        <v>641</v>
      </c>
      <c r="B182" s="11" t="s">
        <v>642</v>
      </c>
      <c r="C182" s="11" t="s">
        <v>643</v>
      </c>
      <c r="D182" s="11" t="s">
        <v>75</v>
      </c>
      <c r="E182" s="11" t="s">
        <v>57</v>
      </c>
      <c r="F182" s="73">
        <v>179017</v>
      </c>
      <c r="G182" s="73">
        <v>175412</v>
      </c>
      <c r="H182" s="74">
        <v>97.986220000000003</v>
      </c>
      <c r="I182" s="75">
        <v>192222</v>
      </c>
      <c r="J182" s="75">
        <v>188307</v>
      </c>
      <c r="K182" s="76">
        <v>97.963291999999996</v>
      </c>
      <c r="L182" s="31"/>
    </row>
    <row r="183" spans="1:12" ht="25" customHeight="1" x14ac:dyDescent="0.2">
      <c r="A183" s="11" t="s">
        <v>644</v>
      </c>
      <c r="B183" s="11" t="s">
        <v>645</v>
      </c>
      <c r="C183" s="11" t="s">
        <v>646</v>
      </c>
      <c r="D183" s="11" t="s">
        <v>73</v>
      </c>
      <c r="E183" s="11" t="s">
        <v>51</v>
      </c>
      <c r="F183" s="73">
        <v>142422</v>
      </c>
      <c r="G183" s="73">
        <v>135335</v>
      </c>
      <c r="H183" s="74">
        <v>95.023939999999996</v>
      </c>
      <c r="I183" s="75">
        <v>151577</v>
      </c>
      <c r="J183" s="75">
        <v>144387</v>
      </c>
      <c r="K183" s="76">
        <v>95.256535999999997</v>
      </c>
      <c r="L183" s="31"/>
    </row>
    <row r="184" spans="1:12" ht="25" customHeight="1" x14ac:dyDescent="0.2">
      <c r="A184" s="11" t="s">
        <v>647</v>
      </c>
      <c r="B184" s="11" t="s">
        <v>648</v>
      </c>
      <c r="C184" s="11" t="s">
        <v>649</v>
      </c>
      <c r="D184" s="11" t="s">
        <v>77</v>
      </c>
      <c r="E184" s="11" t="s">
        <v>63</v>
      </c>
      <c r="F184" s="73">
        <v>51471</v>
      </c>
      <c r="G184" s="73">
        <v>49859</v>
      </c>
      <c r="H184" s="74">
        <v>96.868139999999997</v>
      </c>
      <c r="I184" s="75">
        <v>54575</v>
      </c>
      <c r="J184" s="75">
        <v>52943</v>
      </c>
      <c r="K184" s="76">
        <v>97.009619000000001</v>
      </c>
      <c r="L184" s="31"/>
    </row>
    <row r="185" spans="1:12" ht="25" customHeight="1" x14ac:dyDescent="0.2">
      <c r="A185" s="11" t="s">
        <v>650</v>
      </c>
      <c r="B185" s="11" t="s">
        <v>651</v>
      </c>
      <c r="C185" s="11" t="s">
        <v>652</v>
      </c>
      <c r="D185" s="11" t="s">
        <v>77</v>
      </c>
      <c r="E185" s="11" t="s">
        <v>53</v>
      </c>
      <c r="F185" s="73">
        <v>83671</v>
      </c>
      <c r="G185" s="73">
        <v>81355</v>
      </c>
      <c r="H185" s="74">
        <v>97.232020000000006</v>
      </c>
      <c r="I185" s="75">
        <v>89430</v>
      </c>
      <c r="J185" s="75">
        <v>86865</v>
      </c>
      <c r="K185" s="76">
        <v>97.131833999999998</v>
      </c>
      <c r="L185" s="31"/>
    </row>
    <row r="186" spans="1:12" ht="25" customHeight="1" x14ac:dyDescent="0.2">
      <c r="A186" s="11" t="s">
        <v>653</v>
      </c>
      <c r="B186" s="11" t="s">
        <v>654</v>
      </c>
      <c r="C186" s="11" t="s">
        <v>655</v>
      </c>
      <c r="D186" s="11" t="s">
        <v>75</v>
      </c>
      <c r="E186" s="11" t="s">
        <v>61</v>
      </c>
      <c r="F186" s="73">
        <v>567396</v>
      </c>
      <c r="G186" s="73">
        <v>553564</v>
      </c>
      <c r="H186" s="74">
        <v>97.562200000000004</v>
      </c>
      <c r="I186" s="75">
        <v>621622</v>
      </c>
      <c r="J186" s="75">
        <v>601034</v>
      </c>
      <c r="K186" s="76">
        <v>96.688018999999997</v>
      </c>
      <c r="L186" s="31"/>
    </row>
    <row r="187" spans="1:12" ht="25" customHeight="1" x14ac:dyDescent="0.2">
      <c r="A187" s="11" t="s">
        <v>656</v>
      </c>
      <c r="B187" s="11" t="s">
        <v>657</v>
      </c>
      <c r="C187" s="11" t="s">
        <v>658</v>
      </c>
      <c r="D187" s="11" t="s">
        <v>75</v>
      </c>
      <c r="E187" s="11" t="s">
        <v>51</v>
      </c>
      <c r="F187" s="73">
        <v>267966</v>
      </c>
      <c r="G187" s="73">
        <v>259152</v>
      </c>
      <c r="H187" s="74">
        <v>96.71078</v>
      </c>
      <c r="I187" s="75">
        <v>291689</v>
      </c>
      <c r="J187" s="75">
        <v>281420</v>
      </c>
      <c r="K187" s="76">
        <v>96.479468999999995</v>
      </c>
      <c r="L187" s="31"/>
    </row>
    <row r="188" spans="1:12" ht="25" customHeight="1" x14ac:dyDescent="0.2">
      <c r="A188" s="11" t="s">
        <v>659</v>
      </c>
      <c r="B188" s="11" t="s">
        <v>660</v>
      </c>
      <c r="C188" s="11" t="s">
        <v>661</v>
      </c>
      <c r="D188" s="11" t="s">
        <v>77</v>
      </c>
      <c r="E188" s="11" t="s">
        <v>55</v>
      </c>
      <c r="F188" s="73">
        <v>91963</v>
      </c>
      <c r="G188" s="73">
        <v>86308</v>
      </c>
      <c r="H188" s="74">
        <v>93.850790000000003</v>
      </c>
      <c r="I188" s="75">
        <v>97262</v>
      </c>
      <c r="J188" s="75">
        <v>91251</v>
      </c>
      <c r="K188" s="76">
        <v>93.819784999999996</v>
      </c>
      <c r="L188" s="31"/>
    </row>
    <row r="189" spans="1:12" ht="25" customHeight="1" x14ac:dyDescent="0.2">
      <c r="A189" s="11" t="s">
        <v>662</v>
      </c>
      <c r="B189" s="11" t="s">
        <v>663</v>
      </c>
      <c r="C189" s="11" t="s">
        <v>664</v>
      </c>
      <c r="D189" s="11" t="s">
        <v>75</v>
      </c>
      <c r="E189" s="11" t="s">
        <v>53</v>
      </c>
      <c r="F189" s="73">
        <v>182755</v>
      </c>
      <c r="G189" s="73">
        <v>167068</v>
      </c>
      <c r="H189" s="74">
        <v>91.416380000000004</v>
      </c>
      <c r="I189" s="75">
        <v>195497</v>
      </c>
      <c r="J189" s="75">
        <v>179335</v>
      </c>
      <c r="K189" s="76">
        <v>91.732865000000004</v>
      </c>
      <c r="L189" s="31"/>
    </row>
    <row r="190" spans="1:12" ht="25" customHeight="1" x14ac:dyDescent="0.2">
      <c r="A190" s="11" t="s">
        <v>665</v>
      </c>
      <c r="B190" s="11" t="s">
        <v>666</v>
      </c>
      <c r="C190" s="11" t="s">
        <v>667</v>
      </c>
      <c r="D190" s="11" t="s">
        <v>77</v>
      </c>
      <c r="E190" s="11" t="s">
        <v>63</v>
      </c>
      <c r="F190" s="73">
        <v>94321</v>
      </c>
      <c r="G190" s="73">
        <v>91163</v>
      </c>
      <c r="H190" s="74">
        <v>96.651859999999999</v>
      </c>
      <c r="I190" s="75">
        <v>100522</v>
      </c>
      <c r="J190" s="75">
        <v>97172</v>
      </c>
      <c r="K190" s="76">
        <v>96.667395999999997</v>
      </c>
      <c r="L190" s="31"/>
    </row>
    <row r="191" spans="1:12" ht="25" customHeight="1" x14ac:dyDescent="0.2">
      <c r="A191" s="11" t="s">
        <v>668</v>
      </c>
      <c r="B191" s="11" t="s">
        <v>669</v>
      </c>
      <c r="C191" s="11" t="s">
        <v>670</v>
      </c>
      <c r="D191" s="11" t="s">
        <v>77</v>
      </c>
      <c r="E191" s="11" t="s">
        <v>53</v>
      </c>
      <c r="F191" s="73">
        <v>41524</v>
      </c>
      <c r="G191" s="73">
        <v>40053</v>
      </c>
      <c r="H191" s="74">
        <v>96.457470000000001</v>
      </c>
      <c r="I191" s="75">
        <v>43936</v>
      </c>
      <c r="J191" s="75">
        <v>42618</v>
      </c>
      <c r="K191" s="76">
        <v>97.000181999999995</v>
      </c>
      <c r="L191" s="31"/>
    </row>
    <row r="192" spans="1:12" ht="25" customHeight="1" x14ac:dyDescent="0.2">
      <c r="A192" s="11" t="s">
        <v>671</v>
      </c>
      <c r="B192" s="11" t="s">
        <v>672</v>
      </c>
      <c r="C192" s="11" t="s">
        <v>673</v>
      </c>
      <c r="D192" s="11" t="s">
        <v>73</v>
      </c>
      <c r="E192" s="11" t="s">
        <v>49</v>
      </c>
      <c r="F192" s="73">
        <v>141950</v>
      </c>
      <c r="G192" s="73">
        <v>133182</v>
      </c>
      <c r="H192" s="74">
        <v>93.823179999999994</v>
      </c>
      <c r="I192" s="75">
        <v>150802</v>
      </c>
      <c r="J192" s="75">
        <v>140857</v>
      </c>
      <c r="K192" s="76">
        <v>93.405259000000001</v>
      </c>
      <c r="L192" s="31"/>
    </row>
    <row r="193" spans="1:12" ht="25" customHeight="1" x14ac:dyDescent="0.2">
      <c r="A193" s="11" t="s">
        <v>674</v>
      </c>
      <c r="B193" s="11" t="s">
        <v>675</v>
      </c>
      <c r="C193" s="11" t="s">
        <v>676</v>
      </c>
      <c r="D193" s="11" t="s">
        <v>77</v>
      </c>
      <c r="E193" s="11" t="s">
        <v>59</v>
      </c>
      <c r="F193" s="73">
        <v>114467</v>
      </c>
      <c r="G193" s="73">
        <v>110309</v>
      </c>
      <c r="H193" s="74">
        <v>96.367509999999996</v>
      </c>
      <c r="I193" s="75">
        <v>125028</v>
      </c>
      <c r="J193" s="75">
        <v>118936</v>
      </c>
      <c r="K193" s="76">
        <v>95.127491000000006</v>
      </c>
      <c r="L193" s="31"/>
    </row>
    <row r="194" spans="1:12" ht="25" customHeight="1" x14ac:dyDescent="0.2">
      <c r="A194" s="11" t="s">
        <v>677</v>
      </c>
      <c r="B194" s="11" t="s">
        <v>678</v>
      </c>
      <c r="C194" s="11" t="s">
        <v>679</v>
      </c>
      <c r="D194" s="11" t="s">
        <v>77</v>
      </c>
      <c r="E194" s="11" t="s">
        <v>49</v>
      </c>
      <c r="F194" s="73">
        <v>62382</v>
      </c>
      <c r="G194" s="73">
        <v>59685</v>
      </c>
      <c r="H194" s="74">
        <v>95.676640000000006</v>
      </c>
      <c r="I194" s="75">
        <v>66023</v>
      </c>
      <c r="J194" s="75">
        <v>62926</v>
      </c>
      <c r="K194" s="76">
        <v>95.309209999999993</v>
      </c>
      <c r="L194" s="31"/>
    </row>
    <row r="195" spans="1:12" ht="25" customHeight="1" x14ac:dyDescent="0.2">
      <c r="A195" s="11" t="s">
        <v>680</v>
      </c>
      <c r="B195" s="11" t="s">
        <v>681</v>
      </c>
      <c r="C195" s="11" t="s">
        <v>682</v>
      </c>
      <c r="D195" s="11" t="s">
        <v>75</v>
      </c>
      <c r="E195" s="11" t="s">
        <v>55</v>
      </c>
      <c r="F195" s="73">
        <v>130678</v>
      </c>
      <c r="G195" s="73">
        <v>124361</v>
      </c>
      <c r="H195" s="74">
        <v>95.165980000000005</v>
      </c>
      <c r="I195" s="75">
        <v>139712</v>
      </c>
      <c r="J195" s="75">
        <v>131760</v>
      </c>
      <c r="K195" s="76">
        <v>94.308290999999997</v>
      </c>
      <c r="L195" s="31"/>
    </row>
    <row r="196" spans="1:12" ht="25" customHeight="1" x14ac:dyDescent="0.2">
      <c r="A196" s="11" t="s">
        <v>683</v>
      </c>
      <c r="B196" s="11" t="s">
        <v>684</v>
      </c>
      <c r="C196" s="11" t="s">
        <v>685</v>
      </c>
      <c r="D196" s="11" t="s">
        <v>75</v>
      </c>
      <c r="E196" s="11" t="s">
        <v>57</v>
      </c>
      <c r="F196" s="73">
        <v>167867</v>
      </c>
      <c r="G196" s="73">
        <v>161845</v>
      </c>
      <c r="H196" s="74">
        <v>96.412639999999996</v>
      </c>
      <c r="I196" s="75">
        <v>179471</v>
      </c>
      <c r="J196" s="75">
        <v>171879</v>
      </c>
      <c r="K196" s="76">
        <v>95.76979</v>
      </c>
      <c r="L196" s="31"/>
    </row>
    <row r="197" spans="1:12" ht="25" customHeight="1" x14ac:dyDescent="0.2">
      <c r="A197" s="11" t="s">
        <v>686</v>
      </c>
      <c r="B197" s="11" t="s">
        <v>687</v>
      </c>
      <c r="C197" s="11" t="s">
        <v>688</v>
      </c>
      <c r="D197" s="11" t="s">
        <v>75</v>
      </c>
      <c r="E197" s="11" t="s">
        <v>59</v>
      </c>
      <c r="F197" s="73">
        <v>127300</v>
      </c>
      <c r="G197" s="73">
        <v>115455</v>
      </c>
      <c r="H197" s="74">
        <v>90.695210000000003</v>
      </c>
      <c r="I197" s="75">
        <v>133798</v>
      </c>
      <c r="J197" s="75">
        <v>122926</v>
      </c>
      <c r="K197" s="76">
        <v>91.874318000000002</v>
      </c>
      <c r="L197" s="31"/>
    </row>
    <row r="198" spans="1:12" ht="25" customHeight="1" x14ac:dyDescent="0.2">
      <c r="A198" s="11" t="s">
        <v>689</v>
      </c>
      <c r="B198" s="11" t="s">
        <v>690</v>
      </c>
      <c r="C198" s="11" t="s">
        <v>691</v>
      </c>
      <c r="D198" s="11" t="s">
        <v>77</v>
      </c>
      <c r="E198" s="11" t="s">
        <v>49</v>
      </c>
      <c r="F198" s="73">
        <v>108291</v>
      </c>
      <c r="G198" s="73">
        <v>97652</v>
      </c>
      <c r="H198" s="74">
        <v>90.175550000000001</v>
      </c>
      <c r="I198" s="75">
        <v>114500</v>
      </c>
      <c r="J198" s="75">
        <v>103814</v>
      </c>
      <c r="K198" s="76">
        <v>90.667248000000001</v>
      </c>
      <c r="L198" s="31"/>
    </row>
    <row r="199" spans="1:12" ht="25" customHeight="1" x14ac:dyDescent="0.2">
      <c r="A199" s="11" t="s">
        <v>692</v>
      </c>
      <c r="B199" s="11" t="s">
        <v>693</v>
      </c>
      <c r="C199" s="11" t="s">
        <v>694</v>
      </c>
      <c r="D199" s="11" t="s">
        <v>75</v>
      </c>
      <c r="E199" s="11" t="s">
        <v>59</v>
      </c>
      <c r="F199" s="73">
        <v>140617</v>
      </c>
      <c r="G199" s="73">
        <v>134218</v>
      </c>
      <c r="H199" s="74">
        <v>95.449340000000007</v>
      </c>
      <c r="I199" s="75">
        <v>150056</v>
      </c>
      <c r="J199" s="75">
        <v>142224</v>
      </c>
      <c r="K199" s="76">
        <v>94.780614999999997</v>
      </c>
      <c r="L199" s="31"/>
    </row>
    <row r="200" spans="1:12" ht="25" customHeight="1" x14ac:dyDescent="0.2">
      <c r="A200" s="11" t="s">
        <v>695</v>
      </c>
      <c r="B200" s="11" t="s">
        <v>696</v>
      </c>
      <c r="C200" s="11" t="s">
        <v>697</v>
      </c>
      <c r="D200" s="11" t="s">
        <v>71</v>
      </c>
      <c r="E200" s="11" t="s">
        <v>65</v>
      </c>
      <c r="F200" s="73">
        <v>196199</v>
      </c>
      <c r="G200" s="73">
        <v>188207</v>
      </c>
      <c r="H200" s="74">
        <v>95.926580000000001</v>
      </c>
      <c r="I200" s="75">
        <v>208633</v>
      </c>
      <c r="J200" s="75">
        <v>201276</v>
      </c>
      <c r="K200" s="76">
        <v>96.473712000000006</v>
      </c>
      <c r="L200" s="31"/>
    </row>
    <row r="201" spans="1:12" ht="25" customHeight="1" x14ac:dyDescent="0.2">
      <c r="A201" s="11" t="s">
        <v>698</v>
      </c>
      <c r="B201" s="11" t="s">
        <v>699</v>
      </c>
      <c r="C201" s="11" t="s">
        <v>700</v>
      </c>
      <c r="D201" s="11" t="s">
        <v>75</v>
      </c>
      <c r="E201" s="11" t="s">
        <v>51</v>
      </c>
      <c r="F201" s="73">
        <v>96448</v>
      </c>
      <c r="G201" s="73">
        <v>89359</v>
      </c>
      <c r="H201" s="74">
        <v>92.649929999999998</v>
      </c>
      <c r="I201" s="75">
        <v>103251</v>
      </c>
      <c r="J201" s="75">
        <v>95403</v>
      </c>
      <c r="K201" s="76">
        <v>92.399105000000006</v>
      </c>
      <c r="L201" s="31"/>
    </row>
    <row r="202" spans="1:12" ht="25" customHeight="1" x14ac:dyDescent="0.2">
      <c r="A202" s="11" t="s">
        <v>701</v>
      </c>
      <c r="B202" s="11" t="s">
        <v>702</v>
      </c>
      <c r="C202" s="11" t="s">
        <v>703</v>
      </c>
      <c r="D202" s="11" t="s">
        <v>77</v>
      </c>
      <c r="E202" s="11" t="s">
        <v>63</v>
      </c>
      <c r="F202" s="73">
        <v>58796</v>
      </c>
      <c r="G202" s="73">
        <v>56482</v>
      </c>
      <c r="H202" s="74">
        <v>96.064359999999994</v>
      </c>
      <c r="I202" s="75">
        <v>61610</v>
      </c>
      <c r="J202" s="75">
        <v>59136</v>
      </c>
      <c r="K202" s="76">
        <v>95.984418000000005</v>
      </c>
      <c r="L202" s="31"/>
    </row>
    <row r="203" spans="1:12" ht="25" customHeight="1" x14ac:dyDescent="0.2">
      <c r="A203" s="11" t="s">
        <v>704</v>
      </c>
      <c r="B203" s="11" t="s">
        <v>705</v>
      </c>
      <c r="C203" s="11" t="s">
        <v>706</v>
      </c>
      <c r="D203" s="11" t="s">
        <v>77</v>
      </c>
      <c r="E203" s="11" t="s">
        <v>59</v>
      </c>
      <c r="F203" s="73">
        <v>151796</v>
      </c>
      <c r="G203" s="73">
        <v>149668</v>
      </c>
      <c r="H203" s="74">
        <v>98.598119999999994</v>
      </c>
      <c r="I203" s="75">
        <v>160074</v>
      </c>
      <c r="J203" s="75">
        <v>156707</v>
      </c>
      <c r="K203" s="76">
        <v>97.896597</v>
      </c>
      <c r="L203" s="31"/>
    </row>
    <row r="204" spans="1:12" ht="25" customHeight="1" x14ac:dyDescent="0.2">
      <c r="A204" s="11" t="s">
        <v>707</v>
      </c>
      <c r="B204" s="11" t="s">
        <v>708</v>
      </c>
      <c r="C204" s="11" t="s">
        <v>709</v>
      </c>
      <c r="D204" s="11" t="s">
        <v>77</v>
      </c>
      <c r="E204" s="11" t="s">
        <v>49</v>
      </c>
      <c r="F204" s="73">
        <v>56604</v>
      </c>
      <c r="G204" s="73">
        <v>56146</v>
      </c>
      <c r="H204" s="74">
        <v>99.190870000000004</v>
      </c>
      <c r="I204" s="75">
        <v>59809</v>
      </c>
      <c r="J204" s="75">
        <v>59585</v>
      </c>
      <c r="K204" s="76">
        <v>99.625473999999997</v>
      </c>
      <c r="L204" s="31"/>
    </row>
    <row r="205" spans="1:12" ht="25" customHeight="1" x14ac:dyDescent="0.2">
      <c r="A205" s="11" t="s">
        <v>710</v>
      </c>
      <c r="B205" s="11" t="s">
        <v>711</v>
      </c>
      <c r="C205" s="11" t="s">
        <v>712</v>
      </c>
      <c r="D205" s="11" t="s">
        <v>71</v>
      </c>
      <c r="E205" s="11" t="s">
        <v>65</v>
      </c>
      <c r="F205" s="73">
        <v>205890</v>
      </c>
      <c r="G205" s="73">
        <v>202510</v>
      </c>
      <c r="H205" s="74">
        <v>98.358350000000002</v>
      </c>
      <c r="I205" s="75">
        <v>216850</v>
      </c>
      <c r="J205" s="75">
        <v>212635</v>
      </c>
      <c r="K205" s="76">
        <v>98.056259999999995</v>
      </c>
      <c r="L205" s="31"/>
    </row>
    <row r="206" spans="1:12" ht="25" customHeight="1" x14ac:dyDescent="0.2">
      <c r="A206" s="11" t="s">
        <v>713</v>
      </c>
      <c r="B206" s="11" t="s">
        <v>714</v>
      </c>
      <c r="C206" s="11" t="s">
        <v>715</v>
      </c>
      <c r="D206" s="11" t="s">
        <v>73</v>
      </c>
      <c r="E206" s="11" t="s">
        <v>49</v>
      </c>
      <c r="F206" s="73">
        <v>139191</v>
      </c>
      <c r="G206" s="73">
        <v>130161</v>
      </c>
      <c r="H206" s="74">
        <v>93.512510000000006</v>
      </c>
      <c r="I206" s="75">
        <v>150821</v>
      </c>
      <c r="J206" s="75">
        <v>141444</v>
      </c>
      <c r="K206" s="76">
        <v>93.782696000000001</v>
      </c>
      <c r="L206" s="31"/>
    </row>
    <row r="207" spans="1:12" ht="25" customHeight="1" x14ac:dyDescent="0.2">
      <c r="A207" s="11" t="s">
        <v>716</v>
      </c>
      <c r="B207" s="11" t="s">
        <v>717</v>
      </c>
      <c r="C207" s="11" t="s">
        <v>718</v>
      </c>
      <c r="D207" s="11" t="s">
        <v>77</v>
      </c>
      <c r="E207" s="11" t="s">
        <v>55</v>
      </c>
      <c r="F207" s="73">
        <v>73219</v>
      </c>
      <c r="G207" s="73">
        <v>72016</v>
      </c>
      <c r="H207" s="74">
        <v>98.356979999999993</v>
      </c>
      <c r="I207" s="75">
        <v>77380</v>
      </c>
      <c r="J207" s="75">
        <v>75966</v>
      </c>
      <c r="K207" s="76">
        <v>98.172653999999994</v>
      </c>
      <c r="L207" s="31"/>
    </row>
    <row r="208" spans="1:12" ht="25" customHeight="1" x14ac:dyDescent="0.2">
      <c r="A208" s="11" t="s">
        <v>719</v>
      </c>
      <c r="B208" s="11" t="s">
        <v>720</v>
      </c>
      <c r="C208" s="11" t="s">
        <v>721</v>
      </c>
      <c r="D208" s="11" t="s">
        <v>77</v>
      </c>
      <c r="E208" s="11" t="s">
        <v>49</v>
      </c>
      <c r="F208" s="73">
        <v>50457</v>
      </c>
      <c r="G208" s="73">
        <v>48089</v>
      </c>
      <c r="H208" s="74">
        <v>95.306889999999996</v>
      </c>
      <c r="I208" s="75">
        <v>53170</v>
      </c>
      <c r="J208" s="75">
        <v>50725</v>
      </c>
      <c r="K208" s="76">
        <v>95.401542000000006</v>
      </c>
      <c r="L208" s="31"/>
    </row>
    <row r="209" spans="1:12" ht="25" customHeight="1" x14ac:dyDescent="0.2">
      <c r="A209" s="11" t="s">
        <v>722</v>
      </c>
      <c r="B209" s="11" t="s">
        <v>723</v>
      </c>
      <c r="C209" s="11" t="s">
        <v>724</v>
      </c>
      <c r="D209" s="11" t="s">
        <v>77</v>
      </c>
      <c r="E209" s="11" t="s">
        <v>59</v>
      </c>
      <c r="F209" s="73">
        <v>96005</v>
      </c>
      <c r="G209" s="73">
        <v>93769</v>
      </c>
      <c r="H209" s="74">
        <v>97.670950000000005</v>
      </c>
      <c r="I209" s="75">
        <v>103572</v>
      </c>
      <c r="J209" s="75">
        <v>100366</v>
      </c>
      <c r="K209" s="76">
        <v>96.904567999999998</v>
      </c>
      <c r="L209" s="31"/>
    </row>
    <row r="210" spans="1:12" ht="25" customHeight="1" x14ac:dyDescent="0.2">
      <c r="A210" s="11" t="s">
        <v>725</v>
      </c>
      <c r="B210" s="11" t="s">
        <v>726</v>
      </c>
      <c r="C210" s="11" t="s">
        <v>727</v>
      </c>
      <c r="D210" s="11" t="s">
        <v>73</v>
      </c>
      <c r="E210" s="11" t="s">
        <v>61</v>
      </c>
      <c r="F210" s="73">
        <v>164588</v>
      </c>
      <c r="G210" s="73">
        <v>159610</v>
      </c>
      <c r="H210" s="74">
        <v>96.975480000000005</v>
      </c>
      <c r="I210" s="75">
        <v>171494</v>
      </c>
      <c r="J210" s="75">
        <v>165908</v>
      </c>
      <c r="K210" s="76">
        <v>96.742743000000004</v>
      </c>
      <c r="L210" s="31"/>
    </row>
    <row r="211" spans="1:12" ht="25" customHeight="1" x14ac:dyDescent="0.2">
      <c r="A211" s="11" t="s">
        <v>728</v>
      </c>
      <c r="B211" s="11" t="s">
        <v>729</v>
      </c>
      <c r="C211" s="11" t="s">
        <v>730</v>
      </c>
      <c r="D211" s="11" t="s">
        <v>77</v>
      </c>
      <c r="E211" s="11" t="s">
        <v>63</v>
      </c>
      <c r="F211" s="73">
        <v>94186</v>
      </c>
      <c r="G211" s="73">
        <v>89971</v>
      </c>
      <c r="H211" s="74">
        <v>95.524810000000002</v>
      </c>
      <c r="I211" s="75">
        <v>99934</v>
      </c>
      <c r="J211" s="75">
        <v>96447</v>
      </c>
      <c r="K211" s="76">
        <v>96.510696999999993</v>
      </c>
      <c r="L211" s="31"/>
    </row>
    <row r="212" spans="1:12" ht="25" customHeight="1" x14ac:dyDescent="0.2">
      <c r="A212" s="11" t="s">
        <v>731</v>
      </c>
      <c r="B212" s="11" t="s">
        <v>732</v>
      </c>
      <c r="C212" s="11" t="s">
        <v>733</v>
      </c>
      <c r="D212" s="11" t="s">
        <v>77</v>
      </c>
      <c r="E212" s="11" t="s">
        <v>59</v>
      </c>
      <c r="F212" s="73">
        <v>82841</v>
      </c>
      <c r="G212" s="73">
        <v>80925</v>
      </c>
      <c r="H212" s="74">
        <v>97.687139999999999</v>
      </c>
      <c r="I212" s="75">
        <v>87727</v>
      </c>
      <c r="J212" s="75">
        <v>85565</v>
      </c>
      <c r="K212" s="76">
        <v>97.535535999999993</v>
      </c>
      <c r="L212" s="31"/>
    </row>
    <row r="213" spans="1:12" ht="25" customHeight="1" x14ac:dyDescent="0.2">
      <c r="A213" s="11" t="s">
        <v>734</v>
      </c>
      <c r="B213" s="11" t="s">
        <v>735</v>
      </c>
      <c r="C213" s="11" t="s">
        <v>736</v>
      </c>
      <c r="D213" s="11" t="s">
        <v>77</v>
      </c>
      <c r="E213" s="11" t="s">
        <v>53</v>
      </c>
      <c r="F213" s="73">
        <v>114091</v>
      </c>
      <c r="G213" s="73">
        <v>113041</v>
      </c>
      <c r="H213" s="74">
        <v>99.079679999999996</v>
      </c>
      <c r="I213" s="75">
        <v>121730</v>
      </c>
      <c r="J213" s="75">
        <v>120653</v>
      </c>
      <c r="K213" s="76">
        <v>99.115255000000005</v>
      </c>
      <c r="L213" s="31"/>
    </row>
    <row r="214" spans="1:12" ht="25" customHeight="1" x14ac:dyDescent="0.2">
      <c r="A214" s="11" t="s">
        <v>737</v>
      </c>
      <c r="B214" s="11" t="s">
        <v>738</v>
      </c>
      <c r="C214" s="11" t="s">
        <v>739</v>
      </c>
      <c r="D214" s="11" t="s">
        <v>77</v>
      </c>
      <c r="E214" s="11" t="s">
        <v>59</v>
      </c>
      <c r="F214" s="73">
        <v>70383</v>
      </c>
      <c r="G214" s="73">
        <v>68975</v>
      </c>
      <c r="H214" s="74">
        <v>97.999520000000004</v>
      </c>
      <c r="I214" s="75">
        <v>74605</v>
      </c>
      <c r="J214" s="75">
        <v>73111</v>
      </c>
      <c r="K214" s="76">
        <v>97.997452999999993</v>
      </c>
      <c r="L214" s="31"/>
    </row>
    <row r="215" spans="1:12" ht="25" customHeight="1" x14ac:dyDescent="0.2">
      <c r="A215" s="11" t="s">
        <v>740</v>
      </c>
      <c r="B215" s="11" t="s">
        <v>741</v>
      </c>
      <c r="C215" s="11" t="s">
        <v>742</v>
      </c>
      <c r="D215" s="11" t="s">
        <v>75</v>
      </c>
      <c r="E215" s="11" t="s">
        <v>53</v>
      </c>
      <c r="F215" s="73">
        <v>41045</v>
      </c>
      <c r="G215" s="73">
        <v>40004</v>
      </c>
      <c r="H215" s="74">
        <v>97.463759999999994</v>
      </c>
      <c r="I215" s="75">
        <v>43603</v>
      </c>
      <c r="J215" s="75">
        <v>42532</v>
      </c>
      <c r="K215" s="76">
        <v>97.543745999999999</v>
      </c>
      <c r="L215" s="31"/>
    </row>
    <row r="216" spans="1:12" ht="25" customHeight="1" x14ac:dyDescent="0.2">
      <c r="A216" s="11" t="s">
        <v>743</v>
      </c>
      <c r="B216" s="11" t="s">
        <v>744</v>
      </c>
      <c r="C216" s="11" t="s">
        <v>745</v>
      </c>
      <c r="D216" s="11" t="s">
        <v>73</v>
      </c>
      <c r="E216" s="11" t="s">
        <v>49</v>
      </c>
      <c r="F216" s="73">
        <v>187034</v>
      </c>
      <c r="G216" s="73">
        <v>172640</v>
      </c>
      <c r="H216" s="74">
        <v>92.304069999999996</v>
      </c>
      <c r="I216" s="75">
        <v>201699</v>
      </c>
      <c r="J216" s="75">
        <v>186643</v>
      </c>
      <c r="K216" s="76">
        <v>92.535410999999996</v>
      </c>
      <c r="L216" s="31"/>
    </row>
    <row r="217" spans="1:12" ht="25" customHeight="1" x14ac:dyDescent="0.2">
      <c r="A217" s="11" t="s">
        <v>746</v>
      </c>
      <c r="B217" s="11" t="s">
        <v>747</v>
      </c>
      <c r="C217" s="11" t="s">
        <v>748</v>
      </c>
      <c r="D217" s="11" t="s">
        <v>73</v>
      </c>
      <c r="E217" s="11" t="s">
        <v>63</v>
      </c>
      <c r="F217" s="73">
        <v>162307</v>
      </c>
      <c r="G217" s="73">
        <v>153556</v>
      </c>
      <c r="H217" s="74">
        <v>94.608369999999994</v>
      </c>
      <c r="I217" s="75">
        <v>177784</v>
      </c>
      <c r="J217" s="75">
        <v>165679</v>
      </c>
      <c r="K217" s="76">
        <v>93.191175000000001</v>
      </c>
      <c r="L217" s="31"/>
    </row>
    <row r="218" spans="1:12" ht="25" customHeight="1" x14ac:dyDescent="0.2">
      <c r="A218" s="11" t="s">
        <v>749</v>
      </c>
      <c r="B218" s="11" t="s">
        <v>750</v>
      </c>
      <c r="C218" s="11" t="s">
        <v>751</v>
      </c>
      <c r="D218" s="11" t="s">
        <v>73</v>
      </c>
      <c r="E218" s="11" t="s">
        <v>49</v>
      </c>
      <c r="F218" s="73">
        <v>209426</v>
      </c>
      <c r="G218" s="73">
        <v>198491</v>
      </c>
      <c r="H218" s="74">
        <v>94.778589999999994</v>
      </c>
      <c r="I218" s="75">
        <v>224195</v>
      </c>
      <c r="J218" s="75">
        <v>211618</v>
      </c>
      <c r="K218" s="76">
        <v>94.390151000000003</v>
      </c>
      <c r="L218" s="31"/>
    </row>
    <row r="219" spans="1:12" ht="25" customHeight="1" x14ac:dyDescent="0.2">
      <c r="A219" s="11" t="s">
        <v>752</v>
      </c>
      <c r="B219" s="11" t="s">
        <v>753</v>
      </c>
      <c r="C219" s="11" t="s">
        <v>754</v>
      </c>
      <c r="D219" s="11" t="s">
        <v>77</v>
      </c>
      <c r="E219" s="11" t="s">
        <v>59</v>
      </c>
      <c r="F219" s="73">
        <v>121722</v>
      </c>
      <c r="G219" s="73">
        <v>119141</v>
      </c>
      <c r="H219" s="74">
        <v>97.879589999999993</v>
      </c>
      <c r="I219" s="75">
        <v>128951</v>
      </c>
      <c r="J219" s="75">
        <v>126077</v>
      </c>
      <c r="K219" s="76">
        <v>97.771246000000005</v>
      </c>
      <c r="L219" s="31"/>
    </row>
    <row r="220" spans="1:12" ht="25" customHeight="1" x14ac:dyDescent="0.2">
      <c r="A220" s="11" t="s">
        <v>755</v>
      </c>
      <c r="B220" s="11" t="s">
        <v>756</v>
      </c>
      <c r="C220" s="11" t="s">
        <v>757</v>
      </c>
      <c r="D220" s="11" t="s">
        <v>73</v>
      </c>
      <c r="E220" s="11" t="s">
        <v>61</v>
      </c>
      <c r="F220" s="73">
        <v>348059</v>
      </c>
      <c r="G220" s="73">
        <v>322849</v>
      </c>
      <c r="H220" s="74">
        <v>92.756979999999999</v>
      </c>
      <c r="I220" s="75">
        <v>368656</v>
      </c>
      <c r="J220" s="75">
        <v>342114</v>
      </c>
      <c r="K220" s="76">
        <v>92.800334000000007</v>
      </c>
      <c r="L220" s="31"/>
    </row>
    <row r="221" spans="1:12" ht="25" customHeight="1" x14ac:dyDescent="0.2">
      <c r="A221" s="11" t="s">
        <v>758</v>
      </c>
      <c r="B221" s="11" t="s">
        <v>759</v>
      </c>
      <c r="C221" s="11" t="s">
        <v>760</v>
      </c>
      <c r="D221" s="11" t="s">
        <v>75</v>
      </c>
      <c r="E221" s="11" t="s">
        <v>63</v>
      </c>
      <c r="F221" s="73">
        <v>265580</v>
      </c>
      <c r="G221" s="73">
        <v>259427</v>
      </c>
      <c r="H221" s="74">
        <v>97.683179999999993</v>
      </c>
      <c r="I221" s="75">
        <v>284562</v>
      </c>
      <c r="J221" s="75">
        <v>277166</v>
      </c>
      <c r="K221" s="76">
        <v>97.400917000000007</v>
      </c>
      <c r="L221" s="31"/>
    </row>
    <row r="222" spans="1:12" ht="25" customHeight="1" x14ac:dyDescent="0.2">
      <c r="A222" s="11" t="s">
        <v>761</v>
      </c>
      <c r="B222" s="11" t="s">
        <v>762</v>
      </c>
      <c r="C222" s="11" t="s">
        <v>763</v>
      </c>
      <c r="D222" s="11" t="s">
        <v>75</v>
      </c>
      <c r="E222" s="11" t="s">
        <v>59</v>
      </c>
      <c r="F222" s="73">
        <v>96264</v>
      </c>
      <c r="G222" s="73">
        <v>90694</v>
      </c>
      <c r="H222" s="74">
        <v>94.213830000000002</v>
      </c>
      <c r="I222" s="75">
        <v>103634</v>
      </c>
      <c r="J222" s="75">
        <v>95934</v>
      </c>
      <c r="K222" s="76">
        <v>92.570004999999995</v>
      </c>
      <c r="L222" s="31"/>
    </row>
    <row r="223" spans="1:12" ht="25" customHeight="1" x14ac:dyDescent="0.2">
      <c r="A223" s="11" t="s">
        <v>764</v>
      </c>
      <c r="B223" s="11" t="s">
        <v>765</v>
      </c>
      <c r="C223" s="11" t="s">
        <v>766</v>
      </c>
      <c r="D223" s="11" t="s">
        <v>73</v>
      </c>
      <c r="E223" s="11" t="s">
        <v>63</v>
      </c>
      <c r="F223" s="73">
        <v>161288</v>
      </c>
      <c r="G223" s="73">
        <v>156539</v>
      </c>
      <c r="H223" s="74">
        <v>97.055580000000006</v>
      </c>
      <c r="I223" s="75">
        <v>169490</v>
      </c>
      <c r="J223" s="75">
        <v>164496</v>
      </c>
      <c r="K223" s="76">
        <v>97.053512999999995</v>
      </c>
      <c r="L223" s="31"/>
    </row>
    <row r="224" spans="1:12" ht="25" customHeight="1" x14ac:dyDescent="0.2">
      <c r="A224" s="11" t="s">
        <v>767</v>
      </c>
      <c r="B224" s="11" t="s">
        <v>768</v>
      </c>
      <c r="C224" s="11" t="s">
        <v>769</v>
      </c>
      <c r="D224" s="11" t="s">
        <v>75</v>
      </c>
      <c r="E224" s="11" t="s">
        <v>57</v>
      </c>
      <c r="F224" s="73">
        <v>485514</v>
      </c>
      <c r="G224" s="73">
        <v>469331</v>
      </c>
      <c r="H224" s="74">
        <v>96.666830000000004</v>
      </c>
      <c r="I224" s="75">
        <v>539021</v>
      </c>
      <c r="J224" s="75">
        <v>514640</v>
      </c>
      <c r="K224" s="76">
        <v>95.476799</v>
      </c>
      <c r="L224" s="31"/>
    </row>
    <row r="225" spans="1:12" ht="25" customHeight="1" x14ac:dyDescent="0.2">
      <c r="A225" s="11" t="s">
        <v>770</v>
      </c>
      <c r="B225" s="11" t="s">
        <v>771</v>
      </c>
      <c r="C225" s="11" t="s">
        <v>772</v>
      </c>
      <c r="D225" s="11" t="s">
        <v>77</v>
      </c>
      <c r="E225" s="11" t="s">
        <v>55</v>
      </c>
      <c r="F225" s="73">
        <v>157648</v>
      </c>
      <c r="G225" s="73">
        <v>156428</v>
      </c>
      <c r="H225" s="74">
        <v>99.226119999999995</v>
      </c>
      <c r="I225" s="75">
        <v>168267</v>
      </c>
      <c r="J225" s="75">
        <v>165204</v>
      </c>
      <c r="K225" s="76">
        <v>98.179677999999996</v>
      </c>
      <c r="L225" s="31"/>
    </row>
    <row r="226" spans="1:12" ht="25" customHeight="1" x14ac:dyDescent="0.2">
      <c r="A226" s="11" t="s">
        <v>773</v>
      </c>
      <c r="B226" s="11" t="s">
        <v>774</v>
      </c>
      <c r="C226" s="11" t="s">
        <v>775</v>
      </c>
      <c r="D226" s="11" t="s">
        <v>77</v>
      </c>
      <c r="E226" s="11" t="s">
        <v>53</v>
      </c>
      <c r="F226" s="73">
        <v>82976</v>
      </c>
      <c r="G226" s="73">
        <v>81611</v>
      </c>
      <c r="H226" s="74">
        <v>98.354950000000002</v>
      </c>
      <c r="I226" s="75">
        <v>88465</v>
      </c>
      <c r="J226" s="75">
        <v>86894</v>
      </c>
      <c r="K226" s="76">
        <v>98.224155999999994</v>
      </c>
      <c r="L226" s="31"/>
    </row>
    <row r="227" spans="1:12" ht="25" customHeight="1" x14ac:dyDescent="0.2">
      <c r="A227" s="11" t="s">
        <v>776</v>
      </c>
      <c r="B227" s="11" t="s">
        <v>777</v>
      </c>
      <c r="C227" s="11" t="s">
        <v>778</v>
      </c>
      <c r="D227" s="11" t="s">
        <v>75</v>
      </c>
      <c r="E227" s="11" t="s">
        <v>57</v>
      </c>
      <c r="F227" s="73">
        <v>237326</v>
      </c>
      <c r="G227" s="73">
        <v>230708</v>
      </c>
      <c r="H227" s="74">
        <v>97.211430000000007</v>
      </c>
      <c r="I227" s="75">
        <v>253153</v>
      </c>
      <c r="J227" s="75">
        <v>246179</v>
      </c>
      <c r="K227" s="76">
        <v>97.245143999999996</v>
      </c>
      <c r="L227" s="31"/>
    </row>
    <row r="228" spans="1:12" ht="25" customHeight="1" x14ac:dyDescent="0.2">
      <c r="A228" s="11" t="s">
        <v>779</v>
      </c>
      <c r="B228" s="11" t="s">
        <v>780</v>
      </c>
      <c r="C228" s="11" t="s">
        <v>781</v>
      </c>
      <c r="D228" s="11" t="s">
        <v>77</v>
      </c>
      <c r="E228" s="11" t="s">
        <v>57</v>
      </c>
      <c r="F228" s="73">
        <v>99468</v>
      </c>
      <c r="G228" s="73">
        <v>98282</v>
      </c>
      <c r="H228" s="74">
        <v>98.807659999999998</v>
      </c>
      <c r="I228" s="75">
        <v>115424</v>
      </c>
      <c r="J228" s="75">
        <v>113705</v>
      </c>
      <c r="K228" s="76">
        <v>98.510707999999994</v>
      </c>
      <c r="L228" s="31"/>
    </row>
    <row r="229" spans="1:12" ht="25" customHeight="1" x14ac:dyDescent="0.2">
      <c r="A229" s="11" t="s">
        <v>782</v>
      </c>
      <c r="B229" s="11" t="s">
        <v>783</v>
      </c>
      <c r="C229" s="11" t="s">
        <v>784</v>
      </c>
      <c r="D229" s="11" t="s">
        <v>77</v>
      </c>
      <c r="E229" s="11" t="s">
        <v>53</v>
      </c>
      <c r="F229" s="73">
        <v>65887</v>
      </c>
      <c r="G229" s="73">
        <v>63465</v>
      </c>
      <c r="H229" s="74">
        <v>96.324010000000001</v>
      </c>
      <c r="I229" s="75">
        <v>69323</v>
      </c>
      <c r="J229" s="75">
        <v>66609</v>
      </c>
      <c r="K229" s="76">
        <v>96.084992999999997</v>
      </c>
      <c r="L229" s="31"/>
    </row>
    <row r="230" spans="1:12" ht="25" customHeight="1" x14ac:dyDescent="0.2">
      <c r="A230" s="11" t="s">
        <v>785</v>
      </c>
      <c r="B230" s="11" t="s">
        <v>786</v>
      </c>
      <c r="C230" s="11" t="s">
        <v>787</v>
      </c>
      <c r="D230" s="11" t="s">
        <v>77</v>
      </c>
      <c r="E230" s="11" t="s">
        <v>53</v>
      </c>
      <c r="F230" s="73">
        <v>105674</v>
      </c>
      <c r="G230" s="73">
        <v>103904</v>
      </c>
      <c r="H230" s="74">
        <v>98.325040000000001</v>
      </c>
      <c r="I230" s="75">
        <v>110590</v>
      </c>
      <c r="J230" s="75">
        <v>108723</v>
      </c>
      <c r="K230" s="76">
        <v>98.311781999999994</v>
      </c>
      <c r="L230" s="31"/>
    </row>
    <row r="231" spans="1:12" ht="25" customHeight="1" x14ac:dyDescent="0.2">
      <c r="A231" s="11" t="s">
        <v>788</v>
      </c>
      <c r="B231" s="11" t="s">
        <v>789</v>
      </c>
      <c r="C231" s="11" t="s">
        <v>790</v>
      </c>
      <c r="D231" s="11" t="s">
        <v>77</v>
      </c>
      <c r="E231" s="11" t="s">
        <v>55</v>
      </c>
      <c r="F231" s="73">
        <v>121418</v>
      </c>
      <c r="G231" s="73">
        <v>118637</v>
      </c>
      <c r="H231" s="74">
        <v>97.709569999999999</v>
      </c>
      <c r="I231" s="75">
        <v>128989</v>
      </c>
      <c r="J231" s="75">
        <v>126058</v>
      </c>
      <c r="K231" s="76">
        <v>97.727712999999994</v>
      </c>
      <c r="L231" s="31"/>
    </row>
    <row r="232" spans="1:12" ht="25" customHeight="1" x14ac:dyDescent="0.2">
      <c r="A232" s="11" t="s">
        <v>791</v>
      </c>
      <c r="B232" s="11" t="s">
        <v>792</v>
      </c>
      <c r="C232" s="11" t="s">
        <v>793</v>
      </c>
      <c r="D232" s="11" t="s">
        <v>77</v>
      </c>
      <c r="E232" s="11" t="s">
        <v>59</v>
      </c>
      <c r="F232" s="73">
        <v>151961</v>
      </c>
      <c r="G232" s="73">
        <v>148757</v>
      </c>
      <c r="H232" s="74">
        <v>97.891559999999998</v>
      </c>
      <c r="I232" s="75">
        <v>161834</v>
      </c>
      <c r="J232" s="75">
        <v>158045</v>
      </c>
      <c r="K232" s="76">
        <v>97.658711999999994</v>
      </c>
      <c r="L232" s="31"/>
    </row>
    <row r="233" spans="1:12" ht="25" customHeight="1" x14ac:dyDescent="0.2">
      <c r="A233" s="11" t="s">
        <v>794</v>
      </c>
      <c r="B233" s="11" t="s">
        <v>795</v>
      </c>
      <c r="C233" s="11" t="s">
        <v>796</v>
      </c>
      <c r="D233" s="11" t="s">
        <v>77</v>
      </c>
      <c r="E233" s="11" t="s">
        <v>49</v>
      </c>
      <c r="F233" s="73">
        <v>86829</v>
      </c>
      <c r="G233" s="73">
        <v>83897</v>
      </c>
      <c r="H233" s="74">
        <v>96.623249999999999</v>
      </c>
      <c r="I233" s="75">
        <v>92369</v>
      </c>
      <c r="J233" s="75">
        <v>88966</v>
      </c>
      <c r="K233" s="76">
        <v>96.315862999999993</v>
      </c>
      <c r="L233" s="31"/>
    </row>
    <row r="234" spans="1:12" ht="25" customHeight="1" x14ac:dyDescent="0.2">
      <c r="A234" s="11" t="s">
        <v>797</v>
      </c>
      <c r="B234" s="11" t="s">
        <v>798</v>
      </c>
      <c r="C234" s="11" t="s">
        <v>799</v>
      </c>
      <c r="D234" s="11" t="s">
        <v>77</v>
      </c>
      <c r="E234" s="11" t="s">
        <v>63</v>
      </c>
      <c r="F234" s="73">
        <v>85710</v>
      </c>
      <c r="G234" s="73">
        <v>83840</v>
      </c>
      <c r="H234" s="74">
        <v>97.818219999999997</v>
      </c>
      <c r="I234" s="75">
        <v>90499</v>
      </c>
      <c r="J234" s="75">
        <v>88489</v>
      </c>
      <c r="K234" s="76">
        <v>97.778980000000004</v>
      </c>
      <c r="L234" s="31"/>
    </row>
    <row r="235" spans="1:12" ht="25" customHeight="1" x14ac:dyDescent="0.2">
      <c r="A235" s="11" t="s">
        <v>800</v>
      </c>
      <c r="B235" s="11" t="s">
        <v>801</v>
      </c>
      <c r="C235" s="11" t="s">
        <v>802</v>
      </c>
      <c r="D235" s="11" t="s">
        <v>73</v>
      </c>
      <c r="E235" s="11" t="s">
        <v>51</v>
      </c>
      <c r="F235" s="73">
        <v>87947</v>
      </c>
      <c r="G235" s="73">
        <v>82745</v>
      </c>
      <c r="H235" s="74">
        <v>94.085070000000002</v>
      </c>
      <c r="I235" s="75">
        <v>92565</v>
      </c>
      <c r="J235" s="75">
        <v>87213</v>
      </c>
      <c r="K235" s="76">
        <v>94.218115999999995</v>
      </c>
      <c r="L235" s="31"/>
    </row>
    <row r="236" spans="1:12" ht="25" customHeight="1" x14ac:dyDescent="0.2">
      <c r="A236" s="11" t="s">
        <v>803</v>
      </c>
      <c r="B236" s="11" t="s">
        <v>804</v>
      </c>
      <c r="C236" s="11" t="s">
        <v>805</v>
      </c>
      <c r="D236" s="11" t="s">
        <v>75</v>
      </c>
      <c r="E236" s="11" t="s">
        <v>59</v>
      </c>
      <c r="F236" s="73">
        <v>147804</v>
      </c>
      <c r="G236" s="73">
        <v>138136</v>
      </c>
      <c r="H236" s="74">
        <v>93.458910000000003</v>
      </c>
      <c r="I236" s="75">
        <v>156027</v>
      </c>
      <c r="J236" s="75">
        <v>145619</v>
      </c>
      <c r="K236" s="76">
        <v>93.329358999999997</v>
      </c>
      <c r="L236" s="31"/>
    </row>
    <row r="237" spans="1:12" ht="25" customHeight="1" x14ac:dyDescent="0.2">
      <c r="A237" s="11" t="s">
        <v>806</v>
      </c>
      <c r="B237" s="11" t="s">
        <v>807</v>
      </c>
      <c r="C237" s="11" t="s">
        <v>808</v>
      </c>
      <c r="D237" s="11" t="s">
        <v>75</v>
      </c>
      <c r="E237" s="11" t="s">
        <v>55</v>
      </c>
      <c r="F237" s="73">
        <v>127116</v>
      </c>
      <c r="G237" s="73">
        <v>123567</v>
      </c>
      <c r="H237" s="74">
        <v>97.208060000000003</v>
      </c>
      <c r="I237" s="75">
        <v>135195</v>
      </c>
      <c r="J237" s="75">
        <v>130968</v>
      </c>
      <c r="K237" s="76">
        <v>96.873405000000005</v>
      </c>
      <c r="L237" s="31"/>
    </row>
    <row r="238" spans="1:12" ht="25" customHeight="1" x14ac:dyDescent="0.2">
      <c r="A238" s="11" t="s">
        <v>809</v>
      </c>
      <c r="B238" s="11" t="s">
        <v>810</v>
      </c>
      <c r="C238" s="11" t="s">
        <v>811</v>
      </c>
      <c r="D238" s="11" t="s">
        <v>69</v>
      </c>
      <c r="E238" s="11" t="s">
        <v>65</v>
      </c>
      <c r="F238" s="73">
        <v>199396</v>
      </c>
      <c r="G238" s="73">
        <v>186525</v>
      </c>
      <c r="H238" s="74">
        <v>93.545010000000005</v>
      </c>
      <c r="I238" s="75">
        <v>210578</v>
      </c>
      <c r="J238" s="75">
        <v>198166</v>
      </c>
      <c r="K238" s="76">
        <v>94.105746999999994</v>
      </c>
      <c r="L238" s="31"/>
    </row>
    <row r="239" spans="1:12" ht="25" customHeight="1" x14ac:dyDescent="0.2">
      <c r="A239" s="11" t="s">
        <v>812</v>
      </c>
      <c r="B239" s="11" t="s">
        <v>813</v>
      </c>
      <c r="C239" s="11" t="s">
        <v>814</v>
      </c>
      <c r="D239" s="11" t="s">
        <v>77</v>
      </c>
      <c r="E239" s="11" t="s">
        <v>59</v>
      </c>
      <c r="F239" s="73">
        <v>95958</v>
      </c>
      <c r="G239" s="73">
        <v>93452</v>
      </c>
      <c r="H239" s="74">
        <v>97.388440000000003</v>
      </c>
      <c r="I239" s="75">
        <v>101417</v>
      </c>
      <c r="J239" s="75">
        <v>98225</v>
      </c>
      <c r="K239" s="76">
        <v>96.852598</v>
      </c>
      <c r="L239" s="31"/>
    </row>
    <row r="240" spans="1:12" ht="25" customHeight="1" x14ac:dyDescent="0.2">
      <c r="A240" s="11" t="s">
        <v>815</v>
      </c>
      <c r="B240" s="11" t="s">
        <v>816</v>
      </c>
      <c r="C240" s="11" t="s">
        <v>817</v>
      </c>
      <c r="D240" s="11" t="s">
        <v>77</v>
      </c>
      <c r="E240" s="11" t="s">
        <v>55</v>
      </c>
      <c r="F240" s="73">
        <v>143761</v>
      </c>
      <c r="G240" s="73">
        <v>142033</v>
      </c>
      <c r="H240" s="74">
        <v>98.798010000000005</v>
      </c>
      <c r="I240" s="75">
        <v>151590</v>
      </c>
      <c r="J240" s="75">
        <v>149755</v>
      </c>
      <c r="K240" s="76">
        <v>98.789496999999997</v>
      </c>
      <c r="L240" s="31"/>
    </row>
    <row r="241" spans="1:12" ht="25" customHeight="1" x14ac:dyDescent="0.2">
      <c r="A241" s="11" t="s">
        <v>818</v>
      </c>
      <c r="B241" s="11" t="s">
        <v>819</v>
      </c>
      <c r="C241" s="11" t="s">
        <v>820</v>
      </c>
      <c r="D241" s="11" t="s">
        <v>73</v>
      </c>
      <c r="E241" s="11" t="s">
        <v>49</v>
      </c>
      <c r="F241" s="73">
        <v>119476</v>
      </c>
      <c r="G241" s="73">
        <v>112274</v>
      </c>
      <c r="H241" s="74">
        <v>93.972009999999997</v>
      </c>
      <c r="I241" s="75">
        <v>127276</v>
      </c>
      <c r="J241" s="75">
        <v>119413</v>
      </c>
      <c r="K241" s="76">
        <v>93.822086999999996</v>
      </c>
      <c r="L241" s="31"/>
    </row>
    <row r="242" spans="1:12" ht="25" customHeight="1" x14ac:dyDescent="0.2">
      <c r="A242" s="11" t="s">
        <v>821</v>
      </c>
      <c r="B242" s="11" t="s">
        <v>822</v>
      </c>
      <c r="C242" s="11" t="s">
        <v>823</v>
      </c>
      <c r="D242" s="11" t="s">
        <v>77</v>
      </c>
      <c r="E242" s="11" t="s">
        <v>63</v>
      </c>
      <c r="F242" s="73">
        <v>106128</v>
      </c>
      <c r="G242" s="73">
        <v>103778</v>
      </c>
      <c r="H242" s="74">
        <v>97.785690000000002</v>
      </c>
      <c r="I242" s="75">
        <v>112485</v>
      </c>
      <c r="J242" s="75">
        <v>109720</v>
      </c>
      <c r="K242" s="76">
        <v>97.541893999999999</v>
      </c>
      <c r="L242" s="31"/>
    </row>
    <row r="243" spans="1:12" ht="25" customHeight="1" x14ac:dyDescent="0.2">
      <c r="A243" s="11" t="s">
        <v>824</v>
      </c>
      <c r="B243" s="11" t="s">
        <v>825</v>
      </c>
      <c r="C243" s="11" t="s">
        <v>826</v>
      </c>
      <c r="D243" s="11" t="s">
        <v>77</v>
      </c>
      <c r="E243" s="11" t="s">
        <v>63</v>
      </c>
      <c r="F243" s="73">
        <v>73351</v>
      </c>
      <c r="G243" s="73">
        <v>72181</v>
      </c>
      <c r="H243" s="74">
        <v>98.404929999999993</v>
      </c>
      <c r="I243" s="75">
        <v>77650</v>
      </c>
      <c r="J243" s="75">
        <v>76378</v>
      </c>
      <c r="K243" s="76">
        <v>98.361879999999999</v>
      </c>
      <c r="L243" s="31"/>
    </row>
    <row r="244" spans="1:12" ht="25" customHeight="1" x14ac:dyDescent="0.2">
      <c r="A244" s="11" t="s">
        <v>827</v>
      </c>
      <c r="B244" s="11" t="s">
        <v>828</v>
      </c>
      <c r="C244" s="11" t="s">
        <v>829</v>
      </c>
      <c r="D244" s="11" t="s">
        <v>77</v>
      </c>
      <c r="E244" s="11" t="s">
        <v>55</v>
      </c>
      <c r="F244" s="73">
        <v>63052</v>
      </c>
      <c r="G244" s="73">
        <v>59595</v>
      </c>
      <c r="H244" s="74">
        <v>94.517219999999995</v>
      </c>
      <c r="I244" s="75">
        <v>66766</v>
      </c>
      <c r="J244" s="75">
        <v>63283</v>
      </c>
      <c r="K244" s="76">
        <v>94.783271999999997</v>
      </c>
      <c r="L244" s="31"/>
    </row>
    <row r="245" spans="1:12" ht="25" customHeight="1" x14ac:dyDescent="0.2">
      <c r="A245" s="11" t="s">
        <v>830</v>
      </c>
      <c r="B245" s="11" t="s">
        <v>831</v>
      </c>
      <c r="C245" s="11" t="s">
        <v>832</v>
      </c>
      <c r="D245" s="11" t="s">
        <v>73</v>
      </c>
      <c r="E245" s="11" t="s">
        <v>49</v>
      </c>
      <c r="F245" s="73">
        <v>232708</v>
      </c>
      <c r="G245" s="73">
        <v>226787</v>
      </c>
      <c r="H245" s="74">
        <v>97.455609999999993</v>
      </c>
      <c r="I245" s="75">
        <v>247643</v>
      </c>
      <c r="J245" s="75">
        <v>240835</v>
      </c>
      <c r="K245" s="76">
        <v>97.250881000000007</v>
      </c>
      <c r="L245" s="31"/>
    </row>
    <row r="246" spans="1:12" ht="25" customHeight="1" x14ac:dyDescent="0.2">
      <c r="A246" s="11" t="s">
        <v>833</v>
      </c>
      <c r="B246" s="11" t="s">
        <v>834</v>
      </c>
      <c r="C246" s="11" t="s">
        <v>835</v>
      </c>
      <c r="D246" s="11" t="s">
        <v>75</v>
      </c>
      <c r="E246" s="11" t="s">
        <v>51</v>
      </c>
      <c r="F246" s="73">
        <v>143909</v>
      </c>
      <c r="G246" s="73">
        <v>136642</v>
      </c>
      <c r="H246" s="74">
        <v>94.950280000000006</v>
      </c>
      <c r="I246" s="75">
        <v>156097</v>
      </c>
      <c r="J246" s="75">
        <v>147766</v>
      </c>
      <c r="K246" s="76">
        <v>94.662932999999995</v>
      </c>
      <c r="L246" s="31"/>
    </row>
    <row r="247" spans="1:12" ht="25" customHeight="1" x14ac:dyDescent="0.2">
      <c r="A247" s="11" t="s">
        <v>836</v>
      </c>
      <c r="B247" s="11" t="s">
        <v>837</v>
      </c>
      <c r="C247" s="11" t="s">
        <v>838</v>
      </c>
      <c r="D247" s="11" t="s">
        <v>75</v>
      </c>
      <c r="E247" s="11" t="s">
        <v>63</v>
      </c>
      <c r="F247" s="73">
        <v>136139</v>
      </c>
      <c r="G247" s="73">
        <v>129016</v>
      </c>
      <c r="H247" s="74">
        <v>94.767849999999996</v>
      </c>
      <c r="I247" s="75">
        <v>144750</v>
      </c>
      <c r="J247" s="75">
        <v>137585</v>
      </c>
      <c r="K247" s="76">
        <v>95.050085999999993</v>
      </c>
      <c r="L247" s="31"/>
    </row>
    <row r="248" spans="1:12" ht="25" customHeight="1" x14ac:dyDescent="0.2">
      <c r="A248" s="11" t="s">
        <v>839</v>
      </c>
      <c r="B248" s="11" t="s">
        <v>840</v>
      </c>
      <c r="C248" s="11" t="s">
        <v>841</v>
      </c>
      <c r="D248" s="11" t="s">
        <v>77</v>
      </c>
      <c r="E248" s="11" t="s">
        <v>63</v>
      </c>
      <c r="F248" s="73">
        <v>139911</v>
      </c>
      <c r="G248" s="73">
        <v>136986</v>
      </c>
      <c r="H248" s="74">
        <v>97.909390000000002</v>
      </c>
      <c r="I248" s="75">
        <v>149080</v>
      </c>
      <c r="J248" s="75">
        <v>145685</v>
      </c>
      <c r="K248" s="76">
        <v>97.722699000000006</v>
      </c>
      <c r="L248" s="31"/>
    </row>
    <row r="249" spans="1:12" ht="25" customHeight="1" x14ac:dyDescent="0.2">
      <c r="A249" s="11" t="s">
        <v>842</v>
      </c>
      <c r="B249" s="11" t="s">
        <v>843</v>
      </c>
      <c r="C249" s="11" t="s">
        <v>844</v>
      </c>
      <c r="D249" s="11" t="s">
        <v>77</v>
      </c>
      <c r="E249" s="11" t="s">
        <v>57</v>
      </c>
      <c r="F249" s="73">
        <v>107104</v>
      </c>
      <c r="G249" s="73">
        <v>104889</v>
      </c>
      <c r="H249" s="74">
        <v>97.931920000000005</v>
      </c>
      <c r="I249" s="75">
        <v>114688</v>
      </c>
      <c r="J249" s="75">
        <v>112057</v>
      </c>
      <c r="K249" s="76">
        <v>97.705950000000001</v>
      </c>
      <c r="L249" s="31"/>
    </row>
    <row r="250" spans="1:12" ht="25" customHeight="1" x14ac:dyDescent="0.2">
      <c r="A250" s="11" t="s">
        <v>845</v>
      </c>
      <c r="B250" s="11" t="s">
        <v>846</v>
      </c>
      <c r="C250" s="11" t="s">
        <v>847</v>
      </c>
      <c r="D250" s="11" t="s">
        <v>73</v>
      </c>
      <c r="E250" s="11" t="s">
        <v>51</v>
      </c>
      <c r="F250" s="73">
        <v>151228</v>
      </c>
      <c r="G250" s="73">
        <v>140563</v>
      </c>
      <c r="H250" s="74">
        <v>92.947730000000007</v>
      </c>
      <c r="I250" s="75">
        <v>165927</v>
      </c>
      <c r="J250" s="75">
        <v>153305</v>
      </c>
      <c r="K250" s="76">
        <v>92.393039999999999</v>
      </c>
      <c r="L250" s="31"/>
    </row>
    <row r="251" spans="1:12" ht="25" customHeight="1" x14ac:dyDescent="0.2">
      <c r="A251" s="11" t="s">
        <v>848</v>
      </c>
      <c r="B251" s="11" t="s">
        <v>849</v>
      </c>
      <c r="C251" s="11" t="s">
        <v>850</v>
      </c>
      <c r="D251" s="11" t="s">
        <v>77</v>
      </c>
      <c r="E251" s="11" t="s">
        <v>59</v>
      </c>
      <c r="F251" s="73">
        <v>94596</v>
      </c>
      <c r="G251" s="73">
        <v>94111</v>
      </c>
      <c r="H251" s="74">
        <v>99.487290000000002</v>
      </c>
      <c r="I251" s="75">
        <v>100281</v>
      </c>
      <c r="J251" s="75">
        <v>99363</v>
      </c>
      <c r="K251" s="76">
        <v>99.084571999999994</v>
      </c>
      <c r="L251" s="31"/>
    </row>
    <row r="252" spans="1:12" ht="25" customHeight="1" x14ac:dyDescent="0.2">
      <c r="A252" s="11" t="s">
        <v>851</v>
      </c>
      <c r="B252" s="11" t="s">
        <v>852</v>
      </c>
      <c r="C252" s="11" t="s">
        <v>853</v>
      </c>
      <c r="D252" s="11" t="s">
        <v>71</v>
      </c>
      <c r="E252" s="11" t="s">
        <v>65</v>
      </c>
      <c r="F252" s="73">
        <v>164014</v>
      </c>
      <c r="G252" s="73">
        <v>160970</v>
      </c>
      <c r="H252" s="74">
        <v>98.144059999999996</v>
      </c>
      <c r="I252" s="75">
        <v>174416</v>
      </c>
      <c r="J252" s="75">
        <v>170713</v>
      </c>
      <c r="K252" s="76">
        <v>97.876913999999999</v>
      </c>
      <c r="L252" s="31"/>
    </row>
    <row r="253" spans="1:12" ht="25" customHeight="1" x14ac:dyDescent="0.2">
      <c r="A253" s="11" t="s">
        <v>854</v>
      </c>
      <c r="B253" s="11" t="s">
        <v>855</v>
      </c>
      <c r="C253" s="11" t="s">
        <v>856</v>
      </c>
      <c r="D253" s="11" t="s">
        <v>77</v>
      </c>
      <c r="E253" s="11" t="s">
        <v>59</v>
      </c>
      <c r="F253" s="73">
        <v>112129</v>
      </c>
      <c r="G253" s="73">
        <v>106925</v>
      </c>
      <c r="H253" s="74">
        <v>95.358919999999998</v>
      </c>
      <c r="I253" s="75">
        <v>118798</v>
      </c>
      <c r="J253" s="75">
        <v>112631</v>
      </c>
      <c r="K253" s="76">
        <v>94.808835000000002</v>
      </c>
      <c r="L253" s="31"/>
    </row>
    <row r="254" spans="1:12" ht="25" customHeight="1" x14ac:dyDescent="0.2">
      <c r="A254" s="11" t="s">
        <v>857</v>
      </c>
      <c r="B254" s="11" t="s">
        <v>858</v>
      </c>
      <c r="C254" s="11" t="s">
        <v>859</v>
      </c>
      <c r="D254" s="11" t="s">
        <v>75</v>
      </c>
      <c r="E254" s="11" t="s">
        <v>57</v>
      </c>
      <c r="F254" s="73">
        <v>172954</v>
      </c>
      <c r="G254" s="73">
        <v>166140</v>
      </c>
      <c r="H254" s="74">
        <v>96.060220000000001</v>
      </c>
      <c r="I254" s="75">
        <v>183921</v>
      </c>
      <c r="J254" s="75">
        <v>175420</v>
      </c>
      <c r="K254" s="76">
        <v>95.377905999999996</v>
      </c>
      <c r="L254" s="31"/>
    </row>
    <row r="255" spans="1:12" ht="25" customHeight="1" x14ac:dyDescent="0.2">
      <c r="A255" s="11" t="s">
        <v>860</v>
      </c>
      <c r="B255" s="11" t="s">
        <v>861</v>
      </c>
      <c r="C255" s="11" t="s">
        <v>862</v>
      </c>
      <c r="D255" s="11" t="s">
        <v>73</v>
      </c>
      <c r="E255" s="11" t="s">
        <v>49</v>
      </c>
      <c r="F255" s="73">
        <v>145246</v>
      </c>
      <c r="G255" s="73">
        <v>135192</v>
      </c>
      <c r="H255" s="74">
        <v>93.077950000000001</v>
      </c>
      <c r="I255" s="75">
        <v>153701</v>
      </c>
      <c r="J255" s="75">
        <v>142549</v>
      </c>
      <c r="K255" s="76">
        <v>92.744354000000001</v>
      </c>
      <c r="L255" s="31"/>
    </row>
    <row r="256" spans="1:12" ht="25" customHeight="1" x14ac:dyDescent="0.2">
      <c r="A256" s="11" t="s">
        <v>863</v>
      </c>
      <c r="B256" s="11" t="s">
        <v>864</v>
      </c>
      <c r="C256" s="11" t="s">
        <v>865</v>
      </c>
      <c r="D256" s="11" t="s">
        <v>77</v>
      </c>
      <c r="E256" s="11" t="s">
        <v>63</v>
      </c>
      <c r="F256" s="73">
        <v>50056</v>
      </c>
      <c r="G256" s="73">
        <v>48860</v>
      </c>
      <c r="H256" s="74">
        <v>97.610680000000002</v>
      </c>
      <c r="I256" s="75">
        <v>53242</v>
      </c>
      <c r="J256" s="75">
        <v>51895</v>
      </c>
      <c r="K256" s="76">
        <v>97.470042000000007</v>
      </c>
      <c r="L256" s="31"/>
    </row>
    <row r="257" spans="1:12" ht="25" customHeight="1" x14ac:dyDescent="0.2">
      <c r="A257" s="11" t="s">
        <v>866</v>
      </c>
      <c r="B257" s="11" t="s">
        <v>867</v>
      </c>
      <c r="C257" s="11" t="s">
        <v>868</v>
      </c>
      <c r="D257" s="11" t="s">
        <v>77</v>
      </c>
      <c r="E257" s="11" t="s">
        <v>59</v>
      </c>
      <c r="F257" s="73">
        <v>94051</v>
      </c>
      <c r="G257" s="73">
        <v>91859</v>
      </c>
      <c r="H257" s="74">
        <v>97.669349999999994</v>
      </c>
      <c r="I257" s="75">
        <v>98763</v>
      </c>
      <c r="J257" s="75">
        <v>96679</v>
      </c>
      <c r="K257" s="76">
        <v>97.889898000000002</v>
      </c>
      <c r="L257" s="31"/>
    </row>
    <row r="258" spans="1:12" ht="25" customHeight="1" x14ac:dyDescent="0.2">
      <c r="A258" s="11" t="s">
        <v>869</v>
      </c>
      <c r="B258" s="11" t="s">
        <v>870</v>
      </c>
      <c r="C258" s="11" t="s">
        <v>871</v>
      </c>
      <c r="D258" s="11" t="s">
        <v>77</v>
      </c>
      <c r="E258" s="11" t="s">
        <v>57</v>
      </c>
      <c r="F258" s="73">
        <v>124683</v>
      </c>
      <c r="G258" s="73">
        <v>121619</v>
      </c>
      <c r="H258" s="74">
        <v>97.542569999999998</v>
      </c>
      <c r="I258" s="75">
        <v>133965</v>
      </c>
      <c r="J258" s="75">
        <v>131062</v>
      </c>
      <c r="K258" s="76">
        <v>97.833016000000001</v>
      </c>
      <c r="L258" s="31"/>
    </row>
    <row r="259" spans="1:12" ht="25" customHeight="1" x14ac:dyDescent="0.2">
      <c r="A259" s="11" t="s">
        <v>872</v>
      </c>
      <c r="B259" s="11" t="s">
        <v>873</v>
      </c>
      <c r="C259" s="11" t="s">
        <v>874</v>
      </c>
      <c r="D259" s="11" t="s">
        <v>75</v>
      </c>
      <c r="E259" s="11" t="s">
        <v>63</v>
      </c>
      <c r="F259" s="73">
        <v>119204</v>
      </c>
      <c r="G259" s="73">
        <v>115811</v>
      </c>
      <c r="H259" s="74">
        <v>97.153620000000004</v>
      </c>
      <c r="I259" s="75">
        <v>130017</v>
      </c>
      <c r="J259" s="75">
        <v>125978</v>
      </c>
      <c r="K259" s="76">
        <v>96.893483000000003</v>
      </c>
      <c r="L259" s="31"/>
    </row>
    <row r="260" spans="1:12" ht="25" customHeight="1" x14ac:dyDescent="0.2">
      <c r="A260" s="11" t="s">
        <v>875</v>
      </c>
      <c r="B260" s="11" t="s">
        <v>876</v>
      </c>
      <c r="C260" s="11" t="s">
        <v>877</v>
      </c>
      <c r="D260" s="11" t="s">
        <v>77</v>
      </c>
      <c r="E260" s="11" t="s">
        <v>55</v>
      </c>
      <c r="F260" s="73">
        <v>113912</v>
      </c>
      <c r="G260" s="73">
        <v>107946</v>
      </c>
      <c r="H260" s="74">
        <v>94.762619999999998</v>
      </c>
      <c r="I260" s="75">
        <v>122676</v>
      </c>
      <c r="J260" s="75">
        <v>116305</v>
      </c>
      <c r="K260" s="76">
        <v>94.806645000000003</v>
      </c>
      <c r="L260" s="31"/>
    </row>
    <row r="261" spans="1:12" ht="25" customHeight="1" x14ac:dyDescent="0.2">
      <c r="A261" s="11" t="s">
        <v>878</v>
      </c>
      <c r="B261" s="11" t="s">
        <v>879</v>
      </c>
      <c r="C261" s="11" t="s">
        <v>880</v>
      </c>
      <c r="D261" s="11" t="s">
        <v>77</v>
      </c>
      <c r="E261" s="11" t="s">
        <v>59</v>
      </c>
      <c r="F261" s="73">
        <v>110380</v>
      </c>
      <c r="G261" s="73">
        <v>108268</v>
      </c>
      <c r="H261" s="74">
        <v>98.086609999999993</v>
      </c>
      <c r="I261" s="75">
        <v>116501</v>
      </c>
      <c r="J261" s="75">
        <v>114443</v>
      </c>
      <c r="K261" s="76">
        <v>98.233491000000001</v>
      </c>
      <c r="L261" s="31"/>
    </row>
    <row r="262" spans="1:12" ht="25" customHeight="1" x14ac:dyDescent="0.2">
      <c r="A262" s="11" t="s">
        <v>881</v>
      </c>
      <c r="B262" s="11" t="s">
        <v>882</v>
      </c>
      <c r="C262" s="11" t="s">
        <v>883</v>
      </c>
      <c r="D262" s="11" t="s">
        <v>77</v>
      </c>
      <c r="E262" s="11" t="s">
        <v>57</v>
      </c>
      <c r="F262" s="73">
        <v>80393</v>
      </c>
      <c r="G262" s="73">
        <v>79194</v>
      </c>
      <c r="H262" s="74">
        <v>98.508579999999995</v>
      </c>
      <c r="I262" s="75">
        <v>86705</v>
      </c>
      <c r="J262" s="75">
        <v>85380</v>
      </c>
      <c r="K262" s="76">
        <v>98.471829</v>
      </c>
      <c r="L262" s="31"/>
    </row>
    <row r="263" spans="1:12" ht="25" customHeight="1" x14ac:dyDescent="0.2">
      <c r="A263" s="11" t="s">
        <v>884</v>
      </c>
      <c r="B263" s="11" t="s">
        <v>885</v>
      </c>
      <c r="C263" s="11" t="s">
        <v>886</v>
      </c>
      <c r="D263" s="11" t="s">
        <v>77</v>
      </c>
      <c r="E263" s="11" t="s">
        <v>59</v>
      </c>
      <c r="F263" s="73">
        <v>107538</v>
      </c>
      <c r="G263" s="73">
        <v>101756</v>
      </c>
      <c r="H263" s="74">
        <v>94.6233</v>
      </c>
      <c r="I263" s="75">
        <v>117368</v>
      </c>
      <c r="J263" s="75">
        <v>110296</v>
      </c>
      <c r="K263" s="76">
        <v>93.974507000000003</v>
      </c>
      <c r="L263" s="31"/>
    </row>
    <row r="264" spans="1:12" ht="25" customHeight="1" x14ac:dyDescent="0.2">
      <c r="A264" s="11" t="s">
        <v>887</v>
      </c>
      <c r="B264" s="11" t="s">
        <v>888</v>
      </c>
      <c r="C264" s="11" t="s">
        <v>889</v>
      </c>
      <c r="D264" s="11" t="s">
        <v>77</v>
      </c>
      <c r="E264" s="11" t="s">
        <v>55</v>
      </c>
      <c r="F264" s="73">
        <v>86996</v>
      </c>
      <c r="G264" s="73">
        <v>84846</v>
      </c>
      <c r="H264" s="74">
        <v>97.528620000000004</v>
      </c>
      <c r="I264" s="75">
        <v>91430</v>
      </c>
      <c r="J264" s="75">
        <v>89097</v>
      </c>
      <c r="K264" s="76">
        <v>97.448321000000007</v>
      </c>
      <c r="L264" s="31"/>
    </row>
    <row r="265" spans="1:12" ht="25" customHeight="1" x14ac:dyDescent="0.2">
      <c r="A265" s="11" t="s">
        <v>890</v>
      </c>
      <c r="B265" s="11" t="s">
        <v>891</v>
      </c>
      <c r="C265" s="11" t="s">
        <v>892</v>
      </c>
      <c r="D265" s="11" t="s">
        <v>75</v>
      </c>
      <c r="E265" s="11" t="s">
        <v>55</v>
      </c>
      <c r="F265" s="73">
        <v>110415</v>
      </c>
      <c r="G265" s="73">
        <v>107715</v>
      </c>
      <c r="H265" s="74">
        <v>97.554680000000005</v>
      </c>
      <c r="I265" s="75">
        <v>117024</v>
      </c>
      <c r="J265" s="75">
        <v>113891</v>
      </c>
      <c r="K265" s="76">
        <v>97.322771000000003</v>
      </c>
      <c r="L265" s="31"/>
    </row>
    <row r="266" spans="1:12" ht="25" customHeight="1" x14ac:dyDescent="0.2">
      <c r="A266" s="11" t="s">
        <v>893</v>
      </c>
      <c r="B266" s="11" t="s">
        <v>894</v>
      </c>
      <c r="C266" s="11" t="s">
        <v>895</v>
      </c>
      <c r="D266" s="11" t="s">
        <v>77</v>
      </c>
      <c r="E266" s="11" t="s">
        <v>59</v>
      </c>
      <c r="F266" s="73">
        <v>122046</v>
      </c>
      <c r="G266" s="73">
        <v>119521</v>
      </c>
      <c r="H266" s="74">
        <v>97.931110000000004</v>
      </c>
      <c r="I266" s="75">
        <v>130385</v>
      </c>
      <c r="J266" s="75">
        <v>127088</v>
      </c>
      <c r="K266" s="76">
        <v>97.471333999999999</v>
      </c>
      <c r="L266" s="31"/>
    </row>
    <row r="267" spans="1:12" ht="25" customHeight="1" x14ac:dyDescent="0.2">
      <c r="A267" s="11" t="s">
        <v>896</v>
      </c>
      <c r="B267" s="11" t="s">
        <v>897</v>
      </c>
      <c r="C267" s="11" t="s">
        <v>898</v>
      </c>
      <c r="D267" s="11" t="s">
        <v>75</v>
      </c>
      <c r="E267" s="11" t="s">
        <v>57</v>
      </c>
      <c r="F267" s="73">
        <v>112014</v>
      </c>
      <c r="G267" s="73">
        <v>104685</v>
      </c>
      <c r="H267" s="74">
        <v>93.457070000000002</v>
      </c>
      <c r="I267" s="75">
        <v>122571</v>
      </c>
      <c r="J267" s="75">
        <v>114886</v>
      </c>
      <c r="K267" s="76">
        <v>93.730164000000002</v>
      </c>
      <c r="L267" s="31"/>
    </row>
    <row r="268" spans="1:12" ht="25" customHeight="1" x14ac:dyDescent="0.2">
      <c r="A268" s="11" t="s">
        <v>899</v>
      </c>
      <c r="B268" s="11" t="s">
        <v>900</v>
      </c>
      <c r="C268" s="11" t="s">
        <v>901</v>
      </c>
      <c r="D268" s="11" t="s">
        <v>77</v>
      </c>
      <c r="E268" s="11" t="s">
        <v>57</v>
      </c>
      <c r="F268" s="73">
        <v>61410</v>
      </c>
      <c r="G268" s="73">
        <v>59435</v>
      </c>
      <c r="H268" s="74">
        <v>96.783910000000006</v>
      </c>
      <c r="I268" s="75">
        <v>67213</v>
      </c>
      <c r="J268" s="75">
        <v>64705</v>
      </c>
      <c r="K268" s="76">
        <v>96.268578000000005</v>
      </c>
      <c r="L268" s="31"/>
    </row>
    <row r="269" spans="1:12" ht="25" customHeight="1" x14ac:dyDescent="0.2">
      <c r="A269" s="11" t="s">
        <v>902</v>
      </c>
      <c r="B269" s="11" t="s">
        <v>903</v>
      </c>
      <c r="C269" s="11" t="s">
        <v>904</v>
      </c>
      <c r="D269" s="11" t="s">
        <v>69</v>
      </c>
      <c r="E269" s="11" t="s">
        <v>65</v>
      </c>
      <c r="F269" s="73">
        <v>189587</v>
      </c>
      <c r="G269" s="73">
        <v>173078</v>
      </c>
      <c r="H269" s="74">
        <v>91.292119999999997</v>
      </c>
      <c r="I269" s="75">
        <v>208461</v>
      </c>
      <c r="J269" s="75">
        <v>191952</v>
      </c>
      <c r="K269" s="76">
        <v>92.080533000000003</v>
      </c>
      <c r="L269" s="31"/>
    </row>
    <row r="270" spans="1:12" ht="25" customHeight="1" x14ac:dyDescent="0.2">
      <c r="A270" s="11" t="s">
        <v>905</v>
      </c>
      <c r="B270" s="11" t="s">
        <v>906</v>
      </c>
      <c r="C270" s="11" t="s">
        <v>907</v>
      </c>
      <c r="D270" s="11" t="s">
        <v>73</v>
      </c>
      <c r="E270" s="11" t="s">
        <v>49</v>
      </c>
      <c r="F270" s="73">
        <v>159834</v>
      </c>
      <c r="G270" s="73">
        <v>154634</v>
      </c>
      <c r="H270" s="74">
        <v>96.746619999999993</v>
      </c>
      <c r="I270" s="75">
        <v>174458</v>
      </c>
      <c r="J270" s="75">
        <v>168638</v>
      </c>
      <c r="K270" s="76">
        <v>96.663953000000006</v>
      </c>
      <c r="L270" s="31"/>
    </row>
    <row r="271" spans="1:12" ht="25" customHeight="1" x14ac:dyDescent="0.2">
      <c r="A271" s="11" t="s">
        <v>908</v>
      </c>
      <c r="B271" s="11" t="s">
        <v>909</v>
      </c>
      <c r="C271" s="11" t="s">
        <v>910</v>
      </c>
      <c r="D271" s="11" t="s">
        <v>77</v>
      </c>
      <c r="E271" s="11" t="s">
        <v>59</v>
      </c>
      <c r="F271" s="73">
        <v>109850</v>
      </c>
      <c r="G271" s="73">
        <v>107252</v>
      </c>
      <c r="H271" s="74">
        <v>97.634960000000007</v>
      </c>
      <c r="I271" s="75">
        <v>116590</v>
      </c>
      <c r="J271" s="75">
        <v>113520</v>
      </c>
      <c r="K271" s="76">
        <v>97.366840999999994</v>
      </c>
      <c r="L271" s="31"/>
    </row>
    <row r="272" spans="1:12" ht="25" customHeight="1" x14ac:dyDescent="0.2">
      <c r="A272" s="11" t="s">
        <v>911</v>
      </c>
      <c r="B272" s="11" t="s">
        <v>912</v>
      </c>
      <c r="C272" s="11" t="s">
        <v>913</v>
      </c>
      <c r="D272" s="11" t="s">
        <v>77</v>
      </c>
      <c r="E272" s="11" t="s">
        <v>55</v>
      </c>
      <c r="F272" s="73">
        <v>86171</v>
      </c>
      <c r="G272" s="73">
        <v>85019</v>
      </c>
      <c r="H272" s="74">
        <v>98.663120000000006</v>
      </c>
      <c r="I272" s="75">
        <v>92105</v>
      </c>
      <c r="J272" s="75">
        <v>90681</v>
      </c>
      <c r="K272" s="76">
        <v>98.453937999999994</v>
      </c>
      <c r="L272" s="31"/>
    </row>
    <row r="273" spans="1:12" ht="25" customHeight="1" x14ac:dyDescent="0.2">
      <c r="A273" s="11" t="s">
        <v>914</v>
      </c>
      <c r="B273" s="11" t="s">
        <v>915</v>
      </c>
      <c r="C273" s="11" t="s">
        <v>916</v>
      </c>
      <c r="D273" s="11" t="s">
        <v>77</v>
      </c>
      <c r="E273" s="11" t="s">
        <v>59</v>
      </c>
      <c r="F273" s="73">
        <v>140129</v>
      </c>
      <c r="G273" s="73">
        <v>137141</v>
      </c>
      <c r="H273" s="74">
        <v>97.867680000000007</v>
      </c>
      <c r="I273" s="75">
        <v>150097</v>
      </c>
      <c r="J273" s="75">
        <v>146234</v>
      </c>
      <c r="K273" s="76">
        <v>97.426329999999993</v>
      </c>
      <c r="L273" s="31"/>
    </row>
    <row r="274" spans="1:12" ht="25" customHeight="1" x14ac:dyDescent="0.2">
      <c r="A274" s="11" t="s">
        <v>917</v>
      </c>
      <c r="B274" s="11" t="s">
        <v>918</v>
      </c>
      <c r="C274" s="11" t="s">
        <v>919</v>
      </c>
      <c r="D274" s="11" t="s">
        <v>73</v>
      </c>
      <c r="E274" s="11" t="s">
        <v>61</v>
      </c>
      <c r="F274" s="73">
        <v>220883</v>
      </c>
      <c r="G274" s="73">
        <v>209900</v>
      </c>
      <c r="H274" s="74">
        <v>95.027680000000004</v>
      </c>
      <c r="I274" s="75">
        <v>234037</v>
      </c>
      <c r="J274" s="75">
        <v>221810</v>
      </c>
      <c r="K274" s="76">
        <v>94.775611999999995</v>
      </c>
      <c r="L274" s="31"/>
    </row>
    <row r="275" spans="1:12" ht="25" customHeight="1" x14ac:dyDescent="0.2">
      <c r="A275" s="11" t="s">
        <v>920</v>
      </c>
      <c r="B275" s="11" t="s">
        <v>921</v>
      </c>
      <c r="C275" s="11" t="s">
        <v>922</v>
      </c>
      <c r="D275" s="11" t="s">
        <v>73</v>
      </c>
      <c r="E275" s="11" t="s">
        <v>63</v>
      </c>
      <c r="F275" s="73">
        <v>178287</v>
      </c>
      <c r="G275" s="73">
        <v>163973</v>
      </c>
      <c r="H275" s="74">
        <v>91.971369999999993</v>
      </c>
      <c r="I275" s="75">
        <v>190957</v>
      </c>
      <c r="J275" s="75">
        <v>176413</v>
      </c>
      <c r="K275" s="76">
        <v>92.383624999999995</v>
      </c>
      <c r="L275" s="31"/>
    </row>
    <row r="276" spans="1:12" ht="25" customHeight="1" x14ac:dyDescent="0.2">
      <c r="A276" s="11" t="s">
        <v>923</v>
      </c>
      <c r="B276" s="11" t="s">
        <v>924</v>
      </c>
      <c r="C276" s="11" t="s">
        <v>925</v>
      </c>
      <c r="D276" s="11" t="s">
        <v>71</v>
      </c>
      <c r="E276" s="11" t="s">
        <v>65</v>
      </c>
      <c r="F276" s="73">
        <v>179467</v>
      </c>
      <c r="G276" s="73">
        <v>170561</v>
      </c>
      <c r="H276" s="74">
        <v>95.037530000000004</v>
      </c>
      <c r="I276" s="75">
        <v>191447</v>
      </c>
      <c r="J276" s="75">
        <v>181466</v>
      </c>
      <c r="K276" s="76">
        <v>94.786546000000001</v>
      </c>
      <c r="L276" s="31"/>
    </row>
    <row r="277" spans="1:12" ht="25" customHeight="1" x14ac:dyDescent="0.2">
      <c r="A277" s="11" t="s">
        <v>926</v>
      </c>
      <c r="B277" s="11" t="s">
        <v>927</v>
      </c>
      <c r="C277" s="11" t="s">
        <v>928</v>
      </c>
      <c r="D277" s="11" t="s">
        <v>69</v>
      </c>
      <c r="E277" s="11" t="s">
        <v>65</v>
      </c>
      <c r="F277" s="73">
        <v>144277</v>
      </c>
      <c r="G277" s="73">
        <v>141035</v>
      </c>
      <c r="H277" s="74">
        <v>97.752930000000006</v>
      </c>
      <c r="I277" s="75">
        <v>151294</v>
      </c>
      <c r="J277" s="75">
        <v>146813</v>
      </c>
      <c r="K277" s="76">
        <v>97.038216000000006</v>
      </c>
      <c r="L277" s="31"/>
    </row>
    <row r="278" spans="1:12" ht="25" customHeight="1" x14ac:dyDescent="0.2">
      <c r="A278" s="11" t="s">
        <v>929</v>
      </c>
      <c r="B278" s="11" t="s">
        <v>930</v>
      </c>
      <c r="C278" s="11" t="s">
        <v>931</v>
      </c>
      <c r="D278" s="11" t="s">
        <v>75</v>
      </c>
      <c r="E278" s="11" t="s">
        <v>49</v>
      </c>
      <c r="F278" s="73">
        <v>157146</v>
      </c>
      <c r="G278" s="73">
        <v>151910</v>
      </c>
      <c r="H278" s="74">
        <v>96.66807</v>
      </c>
      <c r="I278" s="75">
        <v>166609</v>
      </c>
      <c r="J278" s="75">
        <v>160349</v>
      </c>
      <c r="K278" s="76">
        <v>96.242699000000002</v>
      </c>
      <c r="L278" s="31"/>
    </row>
    <row r="279" spans="1:12" ht="25" customHeight="1" x14ac:dyDescent="0.2">
      <c r="A279" s="11" t="s">
        <v>932</v>
      </c>
      <c r="B279" s="11" t="s">
        <v>933</v>
      </c>
      <c r="C279" s="11" t="s">
        <v>934</v>
      </c>
      <c r="D279" s="11" t="s">
        <v>77</v>
      </c>
      <c r="E279" s="11" t="s">
        <v>63</v>
      </c>
      <c r="F279" s="73">
        <v>131786</v>
      </c>
      <c r="G279" s="73">
        <v>129341</v>
      </c>
      <c r="H279" s="74">
        <v>98.144720000000007</v>
      </c>
      <c r="I279" s="75">
        <v>139847</v>
      </c>
      <c r="J279" s="75">
        <v>137239</v>
      </c>
      <c r="K279" s="76">
        <v>98.135103999999998</v>
      </c>
      <c r="L279" s="31"/>
    </row>
    <row r="280" spans="1:12" ht="25" customHeight="1" x14ac:dyDescent="0.2">
      <c r="A280" s="11" t="s">
        <v>935</v>
      </c>
      <c r="B280" s="11" t="s">
        <v>936</v>
      </c>
      <c r="C280" s="11" t="s">
        <v>937</v>
      </c>
      <c r="D280" s="11" t="s">
        <v>77</v>
      </c>
      <c r="E280" s="11" t="s">
        <v>55</v>
      </c>
      <c r="F280" s="73">
        <v>80486</v>
      </c>
      <c r="G280" s="73">
        <v>77185</v>
      </c>
      <c r="H280" s="74">
        <v>95.898669999999996</v>
      </c>
      <c r="I280" s="75">
        <v>84866</v>
      </c>
      <c r="J280" s="75">
        <v>81078</v>
      </c>
      <c r="K280" s="76">
        <v>95.536491999999996</v>
      </c>
      <c r="L280" s="31"/>
    </row>
    <row r="281" spans="1:12" ht="25" customHeight="1" x14ac:dyDescent="0.2">
      <c r="A281" s="11" t="s">
        <v>938</v>
      </c>
      <c r="B281" s="11" t="s">
        <v>939</v>
      </c>
      <c r="C281" s="11" t="s">
        <v>940</v>
      </c>
      <c r="D281" s="11" t="s">
        <v>77</v>
      </c>
      <c r="E281" s="11" t="s">
        <v>59</v>
      </c>
      <c r="F281" s="73">
        <v>141889</v>
      </c>
      <c r="G281" s="73">
        <v>138826</v>
      </c>
      <c r="H281" s="74">
        <v>97.841269999999994</v>
      </c>
      <c r="I281" s="75">
        <v>150149</v>
      </c>
      <c r="J281" s="75">
        <v>146722</v>
      </c>
      <c r="K281" s="76">
        <v>97.717600000000004</v>
      </c>
      <c r="L281" s="31"/>
    </row>
    <row r="282" spans="1:12" ht="25" customHeight="1" x14ac:dyDescent="0.2">
      <c r="A282" s="11" t="s">
        <v>941</v>
      </c>
      <c r="B282" s="11" t="s">
        <v>942</v>
      </c>
      <c r="C282" s="11" t="s">
        <v>943</v>
      </c>
      <c r="D282" s="11" t="s">
        <v>77</v>
      </c>
      <c r="E282" s="11" t="s">
        <v>59</v>
      </c>
      <c r="F282" s="73">
        <v>173060</v>
      </c>
      <c r="G282" s="73">
        <v>168910</v>
      </c>
      <c r="H282" s="74">
        <v>97.601990000000001</v>
      </c>
      <c r="I282" s="75">
        <v>185321</v>
      </c>
      <c r="J282" s="75">
        <v>180508</v>
      </c>
      <c r="K282" s="76">
        <v>97.402884</v>
      </c>
      <c r="L282" s="31"/>
    </row>
    <row r="283" spans="1:12" ht="25" customHeight="1" x14ac:dyDescent="0.2">
      <c r="A283" s="11" t="s">
        <v>944</v>
      </c>
      <c r="B283" s="11" t="s">
        <v>945</v>
      </c>
      <c r="C283" s="11" t="s">
        <v>946</v>
      </c>
      <c r="D283" s="11" t="s">
        <v>77</v>
      </c>
      <c r="E283" s="11" t="s">
        <v>55</v>
      </c>
      <c r="F283" s="73">
        <v>97749</v>
      </c>
      <c r="G283" s="73">
        <v>94644</v>
      </c>
      <c r="H283" s="74">
        <v>96.823499999999996</v>
      </c>
      <c r="I283" s="75">
        <v>103497</v>
      </c>
      <c r="J283" s="75">
        <v>100642</v>
      </c>
      <c r="K283" s="76">
        <v>97.241465000000005</v>
      </c>
      <c r="L283" s="31"/>
    </row>
    <row r="284" spans="1:12" ht="25" customHeight="1" x14ac:dyDescent="0.2">
      <c r="A284" s="11" t="s">
        <v>947</v>
      </c>
      <c r="B284" s="11" t="s">
        <v>948</v>
      </c>
      <c r="C284" s="11" t="s">
        <v>949</v>
      </c>
      <c r="D284" s="11" t="s">
        <v>75</v>
      </c>
      <c r="E284" s="11" t="s">
        <v>59</v>
      </c>
      <c r="F284" s="73">
        <v>151936</v>
      </c>
      <c r="G284" s="73">
        <v>148178</v>
      </c>
      <c r="H284" s="74">
        <v>97.526589999999999</v>
      </c>
      <c r="I284" s="75">
        <v>161546</v>
      </c>
      <c r="J284" s="75">
        <v>156956</v>
      </c>
      <c r="K284" s="76">
        <v>97.158704</v>
      </c>
      <c r="L284" s="31"/>
    </row>
    <row r="285" spans="1:12" ht="25" customHeight="1" x14ac:dyDescent="0.2">
      <c r="A285" s="11" t="s">
        <v>950</v>
      </c>
      <c r="B285" s="11" t="s">
        <v>951</v>
      </c>
      <c r="C285" s="11" t="s">
        <v>952</v>
      </c>
      <c r="D285" s="11" t="s">
        <v>77</v>
      </c>
      <c r="E285" s="11" t="s">
        <v>57</v>
      </c>
      <c r="F285" s="73">
        <v>54624</v>
      </c>
      <c r="G285" s="73">
        <v>53908</v>
      </c>
      <c r="H285" s="74">
        <v>98.689220000000006</v>
      </c>
      <c r="I285" s="75">
        <v>58875</v>
      </c>
      <c r="J285" s="75">
        <v>57776</v>
      </c>
      <c r="K285" s="76">
        <v>98.133332999999993</v>
      </c>
      <c r="L285" s="31"/>
    </row>
    <row r="286" spans="1:12" ht="25" customHeight="1" x14ac:dyDescent="0.2">
      <c r="A286" s="11" t="s">
        <v>953</v>
      </c>
      <c r="B286" s="11" t="s">
        <v>954</v>
      </c>
      <c r="C286" s="11" t="s">
        <v>955</v>
      </c>
      <c r="D286" s="11" t="s">
        <v>77</v>
      </c>
      <c r="E286" s="11" t="s">
        <v>49</v>
      </c>
      <c r="F286" s="73">
        <v>87648</v>
      </c>
      <c r="G286" s="73">
        <v>82235</v>
      </c>
      <c r="H286" s="74">
        <v>93.824160000000006</v>
      </c>
      <c r="I286" s="75">
        <v>92969</v>
      </c>
      <c r="J286" s="75">
        <v>87194</v>
      </c>
      <c r="K286" s="76">
        <v>93.788251000000002</v>
      </c>
      <c r="L286" s="31"/>
    </row>
    <row r="287" spans="1:12" ht="25" customHeight="1" x14ac:dyDescent="0.2">
      <c r="A287" s="11" t="s">
        <v>956</v>
      </c>
      <c r="B287" s="11" t="s">
        <v>957</v>
      </c>
      <c r="C287" s="11" t="s">
        <v>958</v>
      </c>
      <c r="D287" s="11" t="s">
        <v>77</v>
      </c>
      <c r="E287" s="11" t="s">
        <v>53</v>
      </c>
      <c r="F287" s="73">
        <v>73187</v>
      </c>
      <c r="G287" s="73">
        <v>71501</v>
      </c>
      <c r="H287" s="74">
        <v>97.696309999999997</v>
      </c>
      <c r="I287" s="75">
        <v>76602</v>
      </c>
      <c r="J287" s="75">
        <v>74860</v>
      </c>
      <c r="K287" s="76">
        <v>97.725907000000007</v>
      </c>
      <c r="L287" s="31"/>
    </row>
    <row r="288" spans="1:12" ht="25" customHeight="1" x14ac:dyDescent="0.2">
      <c r="A288" s="11" t="s">
        <v>959</v>
      </c>
      <c r="B288" s="11" t="s">
        <v>960</v>
      </c>
      <c r="C288" s="11" t="s">
        <v>961</v>
      </c>
      <c r="D288" s="11" t="s">
        <v>75</v>
      </c>
      <c r="E288" s="11" t="s">
        <v>53</v>
      </c>
      <c r="F288" s="73">
        <v>329097</v>
      </c>
      <c r="G288" s="73">
        <v>316912</v>
      </c>
      <c r="H288" s="74">
        <v>96.297439999999995</v>
      </c>
      <c r="I288" s="75">
        <v>349409</v>
      </c>
      <c r="J288" s="75">
        <v>336921</v>
      </c>
      <c r="K288" s="76">
        <v>96.425963999999993</v>
      </c>
      <c r="L288" s="31"/>
    </row>
    <row r="289" spans="1:12" ht="25" customHeight="1" x14ac:dyDescent="0.2">
      <c r="A289" s="11" t="s">
        <v>962</v>
      </c>
      <c r="B289" s="11" t="s">
        <v>963</v>
      </c>
      <c r="C289" s="11" t="s">
        <v>964</v>
      </c>
      <c r="D289" s="11" t="s">
        <v>77</v>
      </c>
      <c r="E289" s="11" t="s">
        <v>59</v>
      </c>
      <c r="F289" s="73">
        <v>112596</v>
      </c>
      <c r="G289" s="73">
        <v>110316</v>
      </c>
      <c r="H289" s="74">
        <v>97.975059999999999</v>
      </c>
      <c r="I289" s="75">
        <v>121492</v>
      </c>
      <c r="J289" s="75">
        <v>118927</v>
      </c>
      <c r="K289" s="76">
        <v>97.888749000000004</v>
      </c>
      <c r="L289" s="31"/>
    </row>
    <row r="290" spans="1:12" ht="25" customHeight="1" x14ac:dyDescent="0.2">
      <c r="A290" s="11" t="s">
        <v>965</v>
      </c>
      <c r="B290" s="11" t="s">
        <v>966</v>
      </c>
      <c r="C290" s="11" t="s">
        <v>967</v>
      </c>
      <c r="D290" s="11" t="s">
        <v>77</v>
      </c>
      <c r="E290" s="11" t="s">
        <v>55</v>
      </c>
      <c r="F290" s="73">
        <v>128418</v>
      </c>
      <c r="G290" s="73">
        <v>124581</v>
      </c>
      <c r="H290" s="74">
        <v>97.012100000000004</v>
      </c>
      <c r="I290" s="75">
        <v>137083</v>
      </c>
      <c r="J290" s="75">
        <v>132515</v>
      </c>
      <c r="K290" s="76">
        <v>96.667711999999995</v>
      </c>
      <c r="L290" s="31"/>
    </row>
    <row r="291" spans="1:12" ht="25" customHeight="1" x14ac:dyDescent="0.2">
      <c r="A291" s="11" t="s">
        <v>968</v>
      </c>
      <c r="B291" s="11" t="s">
        <v>969</v>
      </c>
      <c r="C291" s="11" t="s">
        <v>970</v>
      </c>
      <c r="D291" s="11" t="s">
        <v>69</v>
      </c>
      <c r="E291" s="11" t="s">
        <v>65</v>
      </c>
      <c r="F291" s="73">
        <v>139058</v>
      </c>
      <c r="G291" s="73">
        <v>131390</v>
      </c>
      <c r="H291" s="74">
        <v>94.485749999999996</v>
      </c>
      <c r="I291" s="75">
        <v>162971</v>
      </c>
      <c r="J291" s="75">
        <v>152098</v>
      </c>
      <c r="K291" s="76">
        <v>93.32826</v>
      </c>
      <c r="L291" s="31"/>
    </row>
    <row r="292" spans="1:12" ht="25" customHeight="1" x14ac:dyDescent="0.2">
      <c r="A292" s="11" t="s">
        <v>971</v>
      </c>
      <c r="B292" s="11" t="s">
        <v>972</v>
      </c>
      <c r="C292" s="11" t="s">
        <v>973</v>
      </c>
      <c r="D292" s="11" t="s">
        <v>75</v>
      </c>
      <c r="E292" s="11" t="s">
        <v>49</v>
      </c>
      <c r="F292" s="73">
        <v>206632</v>
      </c>
      <c r="G292" s="73">
        <v>200578</v>
      </c>
      <c r="H292" s="74">
        <v>97.070149999999998</v>
      </c>
      <c r="I292" s="75">
        <v>228477</v>
      </c>
      <c r="J292" s="75">
        <v>220482</v>
      </c>
      <c r="K292" s="76">
        <v>96.500741000000005</v>
      </c>
      <c r="L292" s="31"/>
    </row>
    <row r="293" spans="1:12" ht="25" customHeight="1" x14ac:dyDescent="0.2">
      <c r="A293" s="11" t="s">
        <v>974</v>
      </c>
      <c r="B293" s="11" t="s">
        <v>975</v>
      </c>
      <c r="C293" s="11" t="s">
        <v>976</v>
      </c>
      <c r="D293" s="11" t="s">
        <v>73</v>
      </c>
      <c r="E293" s="11" t="s">
        <v>49</v>
      </c>
      <c r="F293" s="73">
        <v>189644</v>
      </c>
      <c r="G293" s="73">
        <v>181313</v>
      </c>
      <c r="H293" s="74">
        <v>95.607029999999995</v>
      </c>
      <c r="I293" s="75">
        <v>201972</v>
      </c>
      <c r="J293" s="75">
        <v>191731</v>
      </c>
      <c r="K293" s="76">
        <v>94.929495000000003</v>
      </c>
      <c r="L293" s="31"/>
    </row>
    <row r="294" spans="1:12" ht="25" customHeight="1" x14ac:dyDescent="0.2">
      <c r="A294" s="11" t="s">
        <v>977</v>
      </c>
      <c r="B294" s="11" t="s">
        <v>978</v>
      </c>
      <c r="C294" s="11" t="s">
        <v>979</v>
      </c>
      <c r="D294" s="11" t="s">
        <v>75</v>
      </c>
      <c r="E294" s="11" t="s">
        <v>57</v>
      </c>
      <c r="F294" s="73">
        <v>458353</v>
      </c>
      <c r="G294" s="73">
        <v>447322</v>
      </c>
      <c r="H294" s="74">
        <v>97.593339999999998</v>
      </c>
      <c r="I294" s="75">
        <v>484609</v>
      </c>
      <c r="J294" s="75">
        <v>472675</v>
      </c>
      <c r="K294" s="76">
        <v>97.537396000000001</v>
      </c>
      <c r="L294" s="31"/>
    </row>
    <row r="295" spans="1:12" ht="25" customHeight="1" x14ac:dyDescent="0.2">
      <c r="A295" s="11" t="s">
        <v>980</v>
      </c>
      <c r="B295" s="11" t="s">
        <v>981</v>
      </c>
      <c r="C295" s="11" t="s">
        <v>982</v>
      </c>
      <c r="D295" s="11" t="s">
        <v>77</v>
      </c>
      <c r="E295" s="11" t="s">
        <v>59</v>
      </c>
      <c r="F295" s="73">
        <v>116473</v>
      </c>
      <c r="G295" s="73">
        <v>114582</v>
      </c>
      <c r="H295" s="74">
        <v>98.376450000000006</v>
      </c>
      <c r="I295" s="75">
        <v>124681</v>
      </c>
      <c r="J295" s="75">
        <v>122444</v>
      </c>
      <c r="K295" s="76">
        <v>98.205821</v>
      </c>
      <c r="L295" s="31"/>
    </row>
    <row r="296" spans="1:12" ht="25" customHeight="1" x14ac:dyDescent="0.2">
      <c r="A296" s="11" t="s">
        <v>983</v>
      </c>
      <c r="B296" s="11" t="s">
        <v>984</v>
      </c>
      <c r="C296" s="11" t="s">
        <v>985</v>
      </c>
      <c r="D296" s="11" t="s">
        <v>75</v>
      </c>
      <c r="E296" s="11" t="s">
        <v>59</v>
      </c>
      <c r="F296" s="73">
        <v>119746</v>
      </c>
      <c r="G296" s="73">
        <v>116086</v>
      </c>
      <c r="H296" s="74">
        <v>96.943529999999996</v>
      </c>
      <c r="I296" s="75">
        <v>131667</v>
      </c>
      <c r="J296" s="75">
        <v>127514</v>
      </c>
      <c r="K296" s="76">
        <v>96.845830000000007</v>
      </c>
      <c r="L296" s="31"/>
    </row>
    <row r="297" spans="1:12" ht="25" customHeight="1" x14ac:dyDescent="0.2">
      <c r="A297" s="11" t="s">
        <v>986</v>
      </c>
      <c r="B297" s="11" t="s">
        <v>987</v>
      </c>
      <c r="C297" s="11" t="s">
        <v>988</v>
      </c>
      <c r="D297" s="11" t="s">
        <v>73</v>
      </c>
      <c r="E297" s="11" t="s">
        <v>49</v>
      </c>
      <c r="F297" s="73">
        <v>223268</v>
      </c>
      <c r="G297" s="73">
        <v>209296</v>
      </c>
      <c r="H297" s="74">
        <v>93.742050000000006</v>
      </c>
      <c r="I297" s="75">
        <v>239662</v>
      </c>
      <c r="J297" s="75">
        <v>223334</v>
      </c>
      <c r="K297" s="76">
        <v>93.187071000000003</v>
      </c>
      <c r="L297" s="31"/>
    </row>
    <row r="298" spans="1:12" ht="25" customHeight="1" x14ac:dyDescent="0.2">
      <c r="A298" s="11" t="s">
        <v>989</v>
      </c>
      <c r="B298" s="11" t="s">
        <v>990</v>
      </c>
      <c r="C298" s="11" t="s">
        <v>991</v>
      </c>
      <c r="D298" s="11" t="s">
        <v>77</v>
      </c>
      <c r="E298" s="11" t="s">
        <v>59</v>
      </c>
      <c r="F298" s="73">
        <v>102491</v>
      </c>
      <c r="G298" s="73">
        <v>100111</v>
      </c>
      <c r="H298" s="74">
        <v>97.677840000000003</v>
      </c>
      <c r="I298" s="75">
        <v>108272</v>
      </c>
      <c r="J298" s="75">
        <v>105956</v>
      </c>
      <c r="K298" s="76">
        <v>97.860941999999994</v>
      </c>
      <c r="L298" s="31"/>
    </row>
    <row r="299" spans="1:12" ht="25" customHeight="1" x14ac:dyDescent="0.2">
      <c r="A299" s="11" t="s">
        <v>992</v>
      </c>
      <c r="B299" s="11" t="s">
        <v>993</v>
      </c>
      <c r="C299" s="11" t="s">
        <v>994</v>
      </c>
      <c r="D299" s="11" t="s">
        <v>75</v>
      </c>
      <c r="E299" s="11" t="s">
        <v>59</v>
      </c>
      <c r="F299" s="73">
        <v>174866</v>
      </c>
      <c r="G299" s="73">
        <v>173284</v>
      </c>
      <c r="H299" s="74">
        <v>99.095309999999998</v>
      </c>
      <c r="I299" s="75">
        <v>185230</v>
      </c>
      <c r="J299" s="75">
        <v>183187</v>
      </c>
      <c r="K299" s="76">
        <v>98.897046000000003</v>
      </c>
      <c r="L299" s="31"/>
    </row>
    <row r="300" spans="1:12" ht="25" customHeight="1" x14ac:dyDescent="0.2">
      <c r="A300" s="11" t="s">
        <v>995</v>
      </c>
      <c r="B300" s="11" t="s">
        <v>996</v>
      </c>
      <c r="C300" s="11" t="s">
        <v>997</v>
      </c>
      <c r="D300" s="11" t="s">
        <v>73</v>
      </c>
      <c r="E300" s="11" t="s">
        <v>63</v>
      </c>
      <c r="F300" s="73">
        <v>156665</v>
      </c>
      <c r="G300" s="73">
        <v>145003</v>
      </c>
      <c r="H300" s="74">
        <v>92.556089999999998</v>
      </c>
      <c r="I300" s="75">
        <v>166435</v>
      </c>
      <c r="J300" s="75">
        <v>153499</v>
      </c>
      <c r="K300" s="76">
        <v>92.227596000000005</v>
      </c>
      <c r="L300" s="31"/>
    </row>
    <row r="301" spans="1:12" ht="25" customHeight="1" x14ac:dyDescent="0.2">
      <c r="A301" s="11" t="s">
        <v>998</v>
      </c>
      <c r="B301" s="11" t="s">
        <v>999</v>
      </c>
      <c r="C301" s="11" t="s">
        <v>1000</v>
      </c>
      <c r="D301" s="11" t="s">
        <v>77</v>
      </c>
      <c r="E301" s="11" t="s">
        <v>63</v>
      </c>
      <c r="F301" s="73">
        <v>71634</v>
      </c>
      <c r="G301" s="73">
        <v>68835</v>
      </c>
      <c r="H301" s="74">
        <v>96.092640000000003</v>
      </c>
      <c r="I301" s="75">
        <v>75925</v>
      </c>
      <c r="J301" s="75">
        <v>72999</v>
      </c>
      <c r="K301" s="76">
        <v>96.146196000000003</v>
      </c>
      <c r="L301" s="31"/>
    </row>
    <row r="302" spans="1:12" ht="25" customHeight="1" x14ac:dyDescent="0.2">
      <c r="A302" s="11" t="s">
        <v>1001</v>
      </c>
      <c r="B302" s="11" t="s">
        <v>1002</v>
      </c>
      <c r="C302" s="11" t="s">
        <v>1003</v>
      </c>
      <c r="D302" s="11" t="s">
        <v>77</v>
      </c>
      <c r="E302" s="11" t="s">
        <v>59</v>
      </c>
      <c r="F302" s="73">
        <v>89092</v>
      </c>
      <c r="G302" s="73">
        <v>86001</v>
      </c>
      <c r="H302" s="74">
        <v>96.530550000000005</v>
      </c>
      <c r="I302" s="75">
        <v>94419</v>
      </c>
      <c r="J302" s="75">
        <v>90728</v>
      </c>
      <c r="K302" s="76">
        <v>96.090828999999999</v>
      </c>
      <c r="L302" s="31"/>
    </row>
    <row r="303" spans="1:12" ht="25" customHeight="1" x14ac:dyDescent="0.2">
      <c r="A303" s="11" t="s">
        <v>1004</v>
      </c>
      <c r="B303" s="11" t="s">
        <v>1005</v>
      </c>
      <c r="C303" s="11" t="s">
        <v>1006</v>
      </c>
      <c r="D303" s="11" t="s">
        <v>77</v>
      </c>
      <c r="E303" s="11" t="s">
        <v>63</v>
      </c>
      <c r="F303" s="73">
        <v>114228</v>
      </c>
      <c r="G303" s="73">
        <v>111360</v>
      </c>
      <c r="H303" s="74">
        <v>97.489230000000006</v>
      </c>
      <c r="I303" s="75">
        <v>121047</v>
      </c>
      <c r="J303" s="75">
        <v>118037</v>
      </c>
      <c r="K303" s="76">
        <v>97.513362000000001</v>
      </c>
      <c r="L303" s="31"/>
    </row>
    <row r="304" spans="1:12" ht="25" customHeight="1" x14ac:dyDescent="0.2">
      <c r="A304" s="11" t="s">
        <v>1007</v>
      </c>
      <c r="B304" s="11" t="s">
        <v>1008</v>
      </c>
      <c r="C304" s="11" t="s">
        <v>1009</v>
      </c>
      <c r="D304" s="11" t="s">
        <v>77</v>
      </c>
      <c r="E304" s="11" t="s">
        <v>49</v>
      </c>
      <c r="F304" s="73">
        <v>91471</v>
      </c>
      <c r="G304" s="73">
        <v>88254</v>
      </c>
      <c r="H304" s="74">
        <v>96.483040000000003</v>
      </c>
      <c r="I304" s="75">
        <v>97449</v>
      </c>
      <c r="J304" s="75">
        <v>93791</v>
      </c>
      <c r="K304" s="76">
        <v>96.246240999999998</v>
      </c>
      <c r="L304" s="31"/>
    </row>
    <row r="305" spans="1:12" ht="25" customHeight="1" x14ac:dyDescent="0.2">
      <c r="A305" s="11" t="s">
        <v>1010</v>
      </c>
      <c r="B305" s="11" t="s">
        <v>1011</v>
      </c>
      <c r="C305" s="11" t="s">
        <v>1012</v>
      </c>
      <c r="D305" s="11" t="s">
        <v>77</v>
      </c>
      <c r="E305" s="11" t="s">
        <v>63</v>
      </c>
      <c r="F305" s="73">
        <v>77376</v>
      </c>
      <c r="G305" s="73">
        <v>75090</v>
      </c>
      <c r="H305" s="74">
        <v>97.045599999999993</v>
      </c>
      <c r="I305" s="75">
        <v>81727</v>
      </c>
      <c r="J305" s="75">
        <v>79461</v>
      </c>
      <c r="K305" s="76">
        <v>97.227354000000005</v>
      </c>
      <c r="L305" s="31"/>
    </row>
    <row r="306" spans="1:12" ht="25" customHeight="1" x14ac:dyDescent="0.2">
      <c r="A306" s="11" t="s">
        <v>1013</v>
      </c>
      <c r="B306" s="11" t="s">
        <v>1014</v>
      </c>
      <c r="C306" s="11" t="s">
        <v>1015</v>
      </c>
      <c r="D306" s="11" t="s">
        <v>75</v>
      </c>
      <c r="E306" s="11" t="s">
        <v>61</v>
      </c>
      <c r="F306" s="73">
        <v>143098</v>
      </c>
      <c r="G306" s="73">
        <v>139654</v>
      </c>
      <c r="H306" s="74">
        <v>97.593260000000001</v>
      </c>
      <c r="I306" s="75">
        <v>153525</v>
      </c>
      <c r="J306" s="75">
        <v>149718</v>
      </c>
      <c r="K306" s="76">
        <v>97.520273000000003</v>
      </c>
      <c r="L306" s="31"/>
    </row>
  </sheetData>
  <pageMargins left="0.70000000000000007" right="0.70000000000000007" top="0.75" bottom="0.75" header="0.30000000000000004" footer="0.30000000000000004"/>
  <headerFooter>
    <oddHeader xml:space="preserve">&amp;C&amp;"Calibri,Regular" OFFICIAL-SENSITIVE - DLUHC USE ONLY&amp;1#
</oddHeader>
    <oddFooter>&amp;C
&amp;1#&amp;"Calibri,Regular"&amp;10 OFFICIAL-SENSITIVE - DLUHC USE ONLY</oddFooter>
  </headerFooter>
  <tableParts count="1">
    <tablePart r:id="rId1"/>
  </tableParts>
</worksheet>
</file>

<file path=xl/worksheets/sheet6.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DDD82-F5B3-294C-BB55-EBBD701CAE18}">
  <dimension ref="A1:L306"/>
  <sheetViews>
    <sheetView tabSelected="1" workbookViewId="0"/>
  </sheetViews>
  <sheetFormatPr baseColWidth="10" defaultRowHeight="25" customHeight="1" x14ac:dyDescent="0.2"/>
  <cols>
    <col min="1" max="1" width="56.83203125" style="11" customWidth="1"/>
    <col min="2" max="2" width="33" style="11" customWidth="1"/>
    <col min="3" max="3" width="23.1640625" style="11" bestFit="1" customWidth="1"/>
    <col min="4" max="4" width="22.6640625" style="11" customWidth="1"/>
    <col min="5" max="5" width="30.1640625" style="11" bestFit="1" customWidth="1"/>
    <col min="6" max="11" width="45.83203125" style="67" customWidth="1"/>
    <col min="12" max="12" width="69.83203125" style="11" bestFit="1" customWidth="1"/>
    <col min="13" max="13" width="10.83203125" style="11" customWidth="1"/>
    <col min="14" max="16384" width="10.83203125" style="11"/>
  </cols>
  <sheetData>
    <row r="1" spans="1:12" s="2" customFormat="1" ht="25" customHeight="1" x14ac:dyDescent="0.2">
      <c r="A1" s="1" t="s">
        <v>33</v>
      </c>
      <c r="F1" s="66"/>
      <c r="G1" s="66"/>
      <c r="H1" s="66"/>
      <c r="I1" s="66"/>
      <c r="J1" s="66"/>
      <c r="K1" s="66"/>
    </row>
    <row r="2" spans="1:12" ht="25" customHeight="1" x14ac:dyDescent="0.2">
      <c r="A2" s="11" t="s">
        <v>107</v>
      </c>
    </row>
    <row r="3" spans="1:12" s="27" customFormat="1" ht="139" customHeight="1" x14ac:dyDescent="0.2">
      <c r="A3" s="16" t="s">
        <v>108</v>
      </c>
      <c r="B3" s="16" t="s">
        <v>109</v>
      </c>
      <c r="C3" s="16" t="s">
        <v>86</v>
      </c>
      <c r="D3" s="16" t="s">
        <v>88</v>
      </c>
      <c r="E3" s="16" t="s">
        <v>110</v>
      </c>
      <c r="F3" s="68" t="s">
        <v>1016</v>
      </c>
      <c r="G3" s="68" t="s">
        <v>1017</v>
      </c>
      <c r="H3" s="68" t="s">
        <v>1018</v>
      </c>
      <c r="I3" s="68" t="s">
        <v>1019</v>
      </c>
      <c r="J3" s="68" t="s">
        <v>1020</v>
      </c>
      <c r="K3" s="68" t="s">
        <v>1021</v>
      </c>
      <c r="L3" s="69" t="s">
        <v>26</v>
      </c>
    </row>
    <row r="4" spans="1:12" s="13" customFormat="1" ht="25" customHeight="1" x14ac:dyDescent="0.2">
      <c r="A4" s="13" t="s">
        <v>46</v>
      </c>
      <c r="B4" s="13" t="s">
        <v>117</v>
      </c>
      <c r="C4" s="13" t="s">
        <v>118</v>
      </c>
      <c r="D4" s="13" t="s">
        <v>45</v>
      </c>
      <c r="E4" s="13" t="s">
        <v>118</v>
      </c>
      <c r="F4" s="70">
        <v>27246270</v>
      </c>
      <c r="G4" s="70">
        <v>26514974</v>
      </c>
      <c r="H4" s="71">
        <v>97.315977000000004</v>
      </c>
      <c r="I4" s="70">
        <v>29019251</v>
      </c>
      <c r="J4" s="70">
        <v>28075373</v>
      </c>
      <c r="K4" s="71">
        <v>96.747406999999995</v>
      </c>
      <c r="L4" s="72" t="s">
        <v>39</v>
      </c>
    </row>
    <row r="5" spans="1:12" s="13" customFormat="1" ht="25" customHeight="1" x14ac:dyDescent="0.2">
      <c r="A5" s="13" t="s">
        <v>119</v>
      </c>
      <c r="B5" s="13" t="s">
        <v>120</v>
      </c>
      <c r="C5" s="19" t="s">
        <v>118</v>
      </c>
      <c r="D5" s="13" t="s">
        <v>67</v>
      </c>
      <c r="E5" s="13" t="s">
        <v>118</v>
      </c>
      <c r="F5" s="70">
        <v>8643072</v>
      </c>
      <c r="G5" s="70">
        <v>8396162</v>
      </c>
      <c r="H5" s="71">
        <v>97.143260999999995</v>
      </c>
      <c r="I5" s="70">
        <v>9145963</v>
      </c>
      <c r="J5" s="70">
        <v>8828061</v>
      </c>
      <c r="K5" s="71">
        <v>96.524126999999993</v>
      </c>
      <c r="L5" s="77" t="s">
        <v>39</v>
      </c>
    </row>
    <row r="6" spans="1:12" s="13" customFormat="1" ht="25" customHeight="1" x14ac:dyDescent="0.2">
      <c r="A6" s="13" t="s">
        <v>121</v>
      </c>
      <c r="B6" s="13" t="s">
        <v>122</v>
      </c>
      <c r="C6" s="19" t="s">
        <v>118</v>
      </c>
      <c r="D6" s="13" t="s">
        <v>69</v>
      </c>
      <c r="E6" s="13" t="s">
        <v>118</v>
      </c>
      <c r="F6" s="70">
        <v>6282473</v>
      </c>
      <c r="G6" s="70">
        <v>6117774</v>
      </c>
      <c r="H6" s="71">
        <v>97.378437000000005</v>
      </c>
      <c r="I6" s="70">
        <v>6596812</v>
      </c>
      <c r="J6" s="70">
        <v>6376409</v>
      </c>
      <c r="K6" s="71">
        <v>96.658946</v>
      </c>
      <c r="L6" s="77" t="s">
        <v>39</v>
      </c>
    </row>
    <row r="7" spans="1:12" s="13" customFormat="1" ht="25" customHeight="1" x14ac:dyDescent="0.2">
      <c r="A7" s="13" t="s">
        <v>123</v>
      </c>
      <c r="B7" s="13" t="s">
        <v>124</v>
      </c>
      <c r="C7" s="19" t="s">
        <v>118</v>
      </c>
      <c r="D7" s="13" t="s">
        <v>71</v>
      </c>
      <c r="E7" s="13" t="s">
        <v>118</v>
      </c>
      <c r="F7" s="70">
        <v>2360599</v>
      </c>
      <c r="G7" s="70">
        <v>2278388</v>
      </c>
      <c r="H7" s="71">
        <v>96.517365999999996</v>
      </c>
      <c r="I7" s="70">
        <v>2549151</v>
      </c>
      <c r="J7" s="70">
        <v>2451652</v>
      </c>
      <c r="K7" s="71">
        <v>96.175235999999998</v>
      </c>
      <c r="L7" s="78"/>
    </row>
    <row r="8" spans="1:12" s="13" customFormat="1" ht="25" customHeight="1" x14ac:dyDescent="0.2">
      <c r="A8" s="13" t="s">
        <v>125</v>
      </c>
      <c r="B8" s="13" t="s">
        <v>126</v>
      </c>
      <c r="C8" s="19" t="s">
        <v>118</v>
      </c>
      <c r="D8" s="13" t="s">
        <v>73</v>
      </c>
      <c r="E8" s="13" t="s">
        <v>118</v>
      </c>
      <c r="F8" s="70">
        <v>4399413</v>
      </c>
      <c r="G8" s="70">
        <v>4243004</v>
      </c>
      <c r="H8" s="71">
        <v>96.444775000000007</v>
      </c>
      <c r="I8" s="70">
        <v>4661956</v>
      </c>
      <c r="J8" s="70">
        <v>4478081</v>
      </c>
      <c r="K8" s="71">
        <v>96.055840000000003</v>
      </c>
      <c r="L8" s="78"/>
    </row>
    <row r="9" spans="1:12" s="13" customFormat="1" ht="25" customHeight="1" x14ac:dyDescent="0.2">
      <c r="A9" s="13" t="s">
        <v>127</v>
      </c>
      <c r="B9" s="13" t="s">
        <v>128</v>
      </c>
      <c r="C9" s="19" t="s">
        <v>118</v>
      </c>
      <c r="D9" s="13" t="s">
        <v>75</v>
      </c>
      <c r="E9" s="13" t="s">
        <v>118</v>
      </c>
      <c r="F9" s="70">
        <v>6582223</v>
      </c>
      <c r="G9" s="70">
        <v>6413467</v>
      </c>
      <c r="H9" s="71">
        <v>97.436184999999995</v>
      </c>
      <c r="I9" s="70">
        <v>7032697</v>
      </c>
      <c r="J9" s="70">
        <v>6809449</v>
      </c>
      <c r="K9" s="71">
        <v>96.825569999999999</v>
      </c>
      <c r="L9" s="31"/>
    </row>
    <row r="10" spans="1:12" s="13" customFormat="1" ht="25" customHeight="1" x14ac:dyDescent="0.2">
      <c r="A10" s="13" t="s">
        <v>89</v>
      </c>
      <c r="B10" s="13" t="s">
        <v>129</v>
      </c>
      <c r="C10" s="19" t="s">
        <v>118</v>
      </c>
      <c r="D10" s="13" t="s">
        <v>77</v>
      </c>
      <c r="E10" s="13" t="s">
        <v>118</v>
      </c>
      <c r="F10" s="70">
        <v>7621562</v>
      </c>
      <c r="G10" s="70">
        <v>7462341</v>
      </c>
      <c r="H10" s="71">
        <v>97.910912999999994</v>
      </c>
      <c r="I10" s="70">
        <v>8178635</v>
      </c>
      <c r="J10" s="70">
        <v>7959782</v>
      </c>
      <c r="K10" s="71">
        <v>97.324088000000003</v>
      </c>
      <c r="L10" s="31"/>
    </row>
    <row r="11" spans="1:12" ht="25" customHeight="1" x14ac:dyDescent="0.2">
      <c r="A11" s="11" t="s">
        <v>85</v>
      </c>
      <c r="B11" s="11" t="s">
        <v>130</v>
      </c>
      <c r="C11" s="11" t="s">
        <v>87</v>
      </c>
      <c r="D11" s="11" t="s">
        <v>77</v>
      </c>
      <c r="E11" s="11" t="s">
        <v>59</v>
      </c>
      <c r="F11" s="73">
        <v>20300</v>
      </c>
      <c r="G11" s="73">
        <v>19963</v>
      </c>
      <c r="H11" s="74">
        <v>98.3399</v>
      </c>
      <c r="I11" s="73">
        <v>21840</v>
      </c>
      <c r="J11" s="73">
        <v>21433</v>
      </c>
      <c r="K11" s="74">
        <v>98.136446000000007</v>
      </c>
      <c r="L11" s="78"/>
    </row>
    <row r="12" spans="1:12" ht="25" customHeight="1" x14ac:dyDescent="0.2">
      <c r="A12" s="11" t="s">
        <v>131</v>
      </c>
      <c r="B12" s="11" t="s">
        <v>132</v>
      </c>
      <c r="C12" s="11" t="s">
        <v>133</v>
      </c>
      <c r="D12" s="11" t="s">
        <v>77</v>
      </c>
      <c r="E12" s="11" t="s">
        <v>53</v>
      </c>
      <c r="F12" s="73">
        <v>34448</v>
      </c>
      <c r="G12" s="73">
        <v>34039</v>
      </c>
      <c r="H12" s="74">
        <v>98.812700000000007</v>
      </c>
      <c r="I12" s="73">
        <v>36204</v>
      </c>
      <c r="J12" s="73">
        <v>35417</v>
      </c>
      <c r="K12" s="74">
        <v>97.826206999999997</v>
      </c>
      <c r="L12" s="78"/>
    </row>
    <row r="13" spans="1:12" ht="25" customHeight="1" x14ac:dyDescent="0.2">
      <c r="A13" s="11" t="s">
        <v>134</v>
      </c>
      <c r="B13" s="11" t="s">
        <v>135</v>
      </c>
      <c r="C13" s="11" t="s">
        <v>136</v>
      </c>
      <c r="D13" s="11" t="s">
        <v>77</v>
      </c>
      <c r="E13" s="11" t="s">
        <v>59</v>
      </c>
      <c r="F13" s="73">
        <v>39369</v>
      </c>
      <c r="G13" s="73">
        <v>38056</v>
      </c>
      <c r="H13" s="74">
        <v>96.66489</v>
      </c>
      <c r="I13" s="73">
        <v>42060</v>
      </c>
      <c r="J13" s="73">
        <v>40356</v>
      </c>
      <c r="K13" s="74">
        <v>95.948644000000002</v>
      </c>
      <c r="L13" s="78"/>
    </row>
    <row r="14" spans="1:12" ht="25" customHeight="1" x14ac:dyDescent="0.2">
      <c r="A14" s="11" t="s">
        <v>137</v>
      </c>
      <c r="B14" s="11" t="s">
        <v>138</v>
      </c>
      <c r="C14" s="11" t="s">
        <v>139</v>
      </c>
      <c r="D14" s="11" t="s">
        <v>77</v>
      </c>
      <c r="E14" s="11" t="s">
        <v>53</v>
      </c>
      <c r="F14" s="73">
        <v>48515</v>
      </c>
      <c r="G14" s="73">
        <v>47754</v>
      </c>
      <c r="H14" s="74">
        <v>98.43141</v>
      </c>
      <c r="I14" s="73">
        <v>50573</v>
      </c>
      <c r="J14" s="73">
        <v>49621</v>
      </c>
      <c r="K14" s="74">
        <v>98.117571999999996</v>
      </c>
      <c r="L14" s="78"/>
    </row>
    <row r="15" spans="1:12" ht="25" customHeight="1" x14ac:dyDescent="0.2">
      <c r="A15" s="11" t="s">
        <v>140</v>
      </c>
      <c r="B15" s="11" t="s">
        <v>141</v>
      </c>
      <c r="C15" s="11" t="s">
        <v>142</v>
      </c>
      <c r="D15" s="11" t="s">
        <v>77</v>
      </c>
      <c r="E15" s="11" t="s">
        <v>59</v>
      </c>
      <c r="F15" s="73">
        <v>55096</v>
      </c>
      <c r="G15" s="73">
        <v>53665</v>
      </c>
      <c r="H15" s="74">
        <v>97.402720000000002</v>
      </c>
      <c r="I15" s="73">
        <v>59389</v>
      </c>
      <c r="J15" s="73">
        <v>57482</v>
      </c>
      <c r="K15" s="74">
        <v>96.788967</v>
      </c>
      <c r="L15" s="78"/>
    </row>
    <row r="16" spans="1:12" ht="25" customHeight="1" x14ac:dyDescent="0.2">
      <c r="A16" s="11" t="s">
        <v>143</v>
      </c>
      <c r="B16" s="11" t="s">
        <v>144</v>
      </c>
      <c r="C16" s="11" t="s">
        <v>145</v>
      </c>
      <c r="D16" s="11" t="s">
        <v>77</v>
      </c>
      <c r="E16" s="11" t="s">
        <v>55</v>
      </c>
      <c r="F16" s="73">
        <v>25884</v>
      </c>
      <c r="G16" s="73">
        <v>25573</v>
      </c>
      <c r="H16" s="74">
        <v>98.798490000000001</v>
      </c>
      <c r="I16" s="73">
        <v>28785</v>
      </c>
      <c r="J16" s="73">
        <v>28473</v>
      </c>
      <c r="K16" s="74">
        <v>98.916101999999995</v>
      </c>
      <c r="L16" s="78"/>
    </row>
    <row r="17" spans="1:12" ht="25" customHeight="1" x14ac:dyDescent="0.2">
      <c r="A17" s="11" t="s">
        <v>146</v>
      </c>
      <c r="B17" s="11" t="s">
        <v>147</v>
      </c>
      <c r="C17" s="11" t="s">
        <v>148</v>
      </c>
      <c r="D17" s="11" t="s">
        <v>71</v>
      </c>
      <c r="E17" s="11" t="s">
        <v>65</v>
      </c>
      <c r="F17" s="73">
        <v>73884</v>
      </c>
      <c r="G17" s="73">
        <v>71588</v>
      </c>
      <c r="H17" s="74">
        <v>96.892430000000004</v>
      </c>
      <c r="I17" s="73">
        <v>83747</v>
      </c>
      <c r="J17" s="73">
        <v>80791</v>
      </c>
      <c r="K17" s="74">
        <v>96.470320999999998</v>
      </c>
      <c r="L17" s="78"/>
    </row>
    <row r="18" spans="1:12" ht="25" customHeight="1" x14ac:dyDescent="0.2">
      <c r="A18" s="11" t="s">
        <v>149</v>
      </c>
      <c r="B18" s="11" t="s">
        <v>150</v>
      </c>
      <c r="C18" s="11" t="s">
        <v>151</v>
      </c>
      <c r="D18" s="11" t="s">
        <v>71</v>
      </c>
      <c r="E18" s="11" t="s">
        <v>65</v>
      </c>
      <c r="F18" s="73">
        <v>103149</v>
      </c>
      <c r="G18" s="73">
        <v>97167</v>
      </c>
      <c r="H18" s="74">
        <v>94.200620000000001</v>
      </c>
      <c r="I18" s="73">
        <v>115300</v>
      </c>
      <c r="J18" s="73">
        <v>108059</v>
      </c>
      <c r="K18" s="74">
        <v>93.719860999999995</v>
      </c>
      <c r="L18" s="78"/>
    </row>
    <row r="19" spans="1:12" ht="25" customHeight="1" x14ac:dyDescent="0.2">
      <c r="A19" s="11" t="s">
        <v>152</v>
      </c>
      <c r="B19" s="11" t="s">
        <v>153</v>
      </c>
      <c r="C19" s="11" t="s">
        <v>154</v>
      </c>
      <c r="D19" s="11" t="s">
        <v>73</v>
      </c>
      <c r="E19" s="11" t="s">
        <v>61</v>
      </c>
      <c r="F19" s="73">
        <v>64621</v>
      </c>
      <c r="G19" s="73">
        <v>63257</v>
      </c>
      <c r="H19" s="74">
        <v>97.889229999999998</v>
      </c>
      <c r="I19" s="73">
        <v>64764</v>
      </c>
      <c r="J19" s="73">
        <v>63429</v>
      </c>
      <c r="K19" s="74">
        <v>97.938669000000004</v>
      </c>
      <c r="L19" s="78"/>
    </row>
    <row r="20" spans="1:12" ht="25" customHeight="1" x14ac:dyDescent="0.2">
      <c r="A20" s="11" t="s">
        <v>155</v>
      </c>
      <c r="B20" s="11" t="s">
        <v>156</v>
      </c>
      <c r="C20" s="11" t="s">
        <v>157</v>
      </c>
      <c r="D20" s="11" t="s">
        <v>77</v>
      </c>
      <c r="E20" s="11" t="s">
        <v>55</v>
      </c>
      <c r="F20" s="73">
        <v>87320</v>
      </c>
      <c r="G20" s="73">
        <v>86191</v>
      </c>
      <c r="H20" s="74">
        <v>98.707049999999995</v>
      </c>
      <c r="I20" s="73">
        <v>90522</v>
      </c>
      <c r="J20" s="73">
        <v>88585</v>
      </c>
      <c r="K20" s="74">
        <v>97.860187999999994</v>
      </c>
      <c r="L20" s="78"/>
    </row>
    <row r="21" spans="1:12" ht="25" customHeight="1" x14ac:dyDescent="0.2">
      <c r="A21" s="11" t="s">
        <v>158</v>
      </c>
      <c r="B21" s="11" t="s">
        <v>159</v>
      </c>
      <c r="C21" s="11" t="s">
        <v>160</v>
      </c>
      <c r="D21" s="11" t="s">
        <v>77</v>
      </c>
      <c r="E21" s="11" t="s">
        <v>59</v>
      </c>
      <c r="F21" s="73">
        <v>82852</v>
      </c>
      <c r="G21" s="73">
        <v>81252</v>
      </c>
      <c r="H21" s="74">
        <v>98.068849999999998</v>
      </c>
      <c r="I21" s="73">
        <v>86366</v>
      </c>
      <c r="J21" s="73">
        <v>85842</v>
      </c>
      <c r="K21" s="74">
        <v>99.393279000000007</v>
      </c>
      <c r="L21" s="78"/>
    </row>
    <row r="22" spans="1:12" ht="25" customHeight="1" x14ac:dyDescent="0.2">
      <c r="A22" s="11" t="s">
        <v>161</v>
      </c>
      <c r="B22" s="11" t="s">
        <v>162</v>
      </c>
      <c r="C22" s="11" t="s">
        <v>163</v>
      </c>
      <c r="D22" s="11" t="s">
        <v>77</v>
      </c>
      <c r="E22" s="11" t="s">
        <v>53</v>
      </c>
      <c r="F22" s="73">
        <v>52342</v>
      </c>
      <c r="G22" s="73">
        <v>51913</v>
      </c>
      <c r="H22" s="74">
        <v>99.180390000000003</v>
      </c>
      <c r="I22" s="73">
        <v>56242</v>
      </c>
      <c r="J22" s="73">
        <v>55067</v>
      </c>
      <c r="K22" s="74">
        <v>97.910813000000005</v>
      </c>
      <c r="L22" s="78"/>
    </row>
    <row r="23" spans="1:12" ht="25" customHeight="1" x14ac:dyDescent="0.2">
      <c r="A23" s="11" t="s">
        <v>164</v>
      </c>
      <c r="B23" s="11" t="s">
        <v>165</v>
      </c>
      <c r="C23" s="11" t="s">
        <v>166</v>
      </c>
      <c r="D23" s="11" t="s">
        <v>75</v>
      </c>
      <c r="E23" s="11" t="s">
        <v>57</v>
      </c>
      <c r="F23" s="73">
        <v>66008</v>
      </c>
      <c r="G23" s="73">
        <v>63192</v>
      </c>
      <c r="H23" s="74">
        <v>95.733850000000004</v>
      </c>
      <c r="I23" s="73">
        <v>73860</v>
      </c>
      <c r="J23" s="73">
        <v>69008</v>
      </c>
      <c r="K23" s="74">
        <v>93.430814999999996</v>
      </c>
      <c r="L23" s="78"/>
    </row>
    <row r="24" spans="1:12" ht="25" customHeight="1" x14ac:dyDescent="0.2">
      <c r="A24" s="11" t="s">
        <v>167</v>
      </c>
      <c r="B24" s="11" t="s">
        <v>168</v>
      </c>
      <c r="C24" s="11" t="s">
        <v>169</v>
      </c>
      <c r="D24" s="11" t="s">
        <v>75</v>
      </c>
      <c r="E24" s="11" t="s">
        <v>55</v>
      </c>
      <c r="F24" s="73">
        <v>89348</v>
      </c>
      <c r="G24" s="73">
        <v>87628</v>
      </c>
      <c r="H24" s="74">
        <v>98.074939999999998</v>
      </c>
      <c r="I24" s="73">
        <v>93789</v>
      </c>
      <c r="J24" s="73">
        <v>92246</v>
      </c>
      <c r="K24" s="74">
        <v>98.354816999999997</v>
      </c>
      <c r="L24" s="78"/>
    </row>
    <row r="25" spans="1:12" ht="25" customHeight="1" x14ac:dyDescent="0.2">
      <c r="A25" s="11" t="s">
        <v>170</v>
      </c>
      <c r="B25" s="11" t="s">
        <v>171</v>
      </c>
      <c r="C25" s="11" t="s">
        <v>172</v>
      </c>
      <c r="D25" s="11" t="s">
        <v>71</v>
      </c>
      <c r="E25" s="11" t="s">
        <v>65</v>
      </c>
      <c r="F25" s="73">
        <v>94335</v>
      </c>
      <c r="G25" s="73">
        <v>91573</v>
      </c>
      <c r="H25" s="74">
        <v>97.072140000000005</v>
      </c>
      <c r="I25" s="73">
        <v>97601</v>
      </c>
      <c r="J25" s="73">
        <v>94599</v>
      </c>
      <c r="K25" s="74">
        <v>96.924211</v>
      </c>
      <c r="L25" s="78"/>
    </row>
    <row r="26" spans="1:12" ht="25" customHeight="1" x14ac:dyDescent="0.2">
      <c r="A26" s="11" t="s">
        <v>173</v>
      </c>
      <c r="B26" s="11" t="s">
        <v>174</v>
      </c>
      <c r="C26" s="11" t="s">
        <v>175</v>
      </c>
      <c r="D26" s="11" t="s">
        <v>73</v>
      </c>
      <c r="E26" s="11" t="s">
        <v>63</v>
      </c>
      <c r="F26" s="73">
        <v>452545</v>
      </c>
      <c r="G26" s="73">
        <v>433460</v>
      </c>
      <c r="H26" s="74">
        <v>95.782740000000004</v>
      </c>
      <c r="I26" s="73">
        <v>482145</v>
      </c>
      <c r="J26" s="73">
        <v>450235</v>
      </c>
      <c r="K26" s="74">
        <v>93.381658999999999</v>
      </c>
      <c r="L26" s="78"/>
    </row>
    <row r="27" spans="1:12" ht="25" customHeight="1" x14ac:dyDescent="0.2">
      <c r="A27" s="11" t="s">
        <v>176</v>
      </c>
      <c r="B27" s="11" t="s">
        <v>177</v>
      </c>
      <c r="C27" s="11" t="s">
        <v>178</v>
      </c>
      <c r="D27" s="11" t="s">
        <v>77</v>
      </c>
      <c r="E27" s="11" t="s">
        <v>53</v>
      </c>
      <c r="F27" s="73">
        <v>55599</v>
      </c>
      <c r="G27" s="73">
        <v>55479</v>
      </c>
      <c r="H27" s="74">
        <v>99.784170000000003</v>
      </c>
      <c r="I27" s="73">
        <v>56051</v>
      </c>
      <c r="J27" s="73">
        <v>55459</v>
      </c>
      <c r="K27" s="74">
        <v>98.943819000000005</v>
      </c>
      <c r="L27" s="78"/>
    </row>
    <row r="28" spans="1:12" ht="25" customHeight="1" x14ac:dyDescent="0.2">
      <c r="A28" s="11" t="s">
        <v>179</v>
      </c>
      <c r="B28" s="11" t="s">
        <v>180</v>
      </c>
      <c r="C28" s="11" t="s">
        <v>181</v>
      </c>
      <c r="D28" s="11" t="s">
        <v>75</v>
      </c>
      <c r="E28" s="11" t="s">
        <v>49</v>
      </c>
      <c r="F28" s="73">
        <v>45041</v>
      </c>
      <c r="G28" s="73">
        <v>44299</v>
      </c>
      <c r="H28" s="74">
        <v>98.352609999999999</v>
      </c>
      <c r="I28" s="73">
        <v>47632</v>
      </c>
      <c r="J28" s="73">
        <v>46345</v>
      </c>
      <c r="K28" s="74">
        <v>97.298034000000001</v>
      </c>
      <c r="L28" s="78"/>
    </row>
    <row r="29" spans="1:12" ht="25" customHeight="1" x14ac:dyDescent="0.2">
      <c r="A29" s="11" t="s">
        <v>182</v>
      </c>
      <c r="B29" s="11" t="s">
        <v>183</v>
      </c>
      <c r="C29" s="11" t="s">
        <v>184</v>
      </c>
      <c r="D29" s="11" t="s">
        <v>75</v>
      </c>
      <c r="E29" s="11" t="s">
        <v>49</v>
      </c>
      <c r="F29" s="73">
        <v>40212</v>
      </c>
      <c r="G29" s="73">
        <v>38007</v>
      </c>
      <c r="H29" s="74">
        <v>94.516559999999998</v>
      </c>
      <c r="I29" s="73">
        <v>44248</v>
      </c>
      <c r="J29" s="73">
        <v>41656</v>
      </c>
      <c r="K29" s="74">
        <v>94.142107999999993</v>
      </c>
      <c r="L29" s="78"/>
    </row>
    <row r="30" spans="1:12" ht="25" customHeight="1" x14ac:dyDescent="0.2">
      <c r="A30" s="11" t="s">
        <v>185</v>
      </c>
      <c r="B30" s="11" t="s">
        <v>186</v>
      </c>
      <c r="C30" s="11" t="s">
        <v>187</v>
      </c>
      <c r="D30" s="11" t="s">
        <v>77</v>
      </c>
      <c r="E30" s="11" t="s">
        <v>53</v>
      </c>
      <c r="F30" s="73">
        <v>35463</v>
      </c>
      <c r="G30" s="73">
        <v>34582</v>
      </c>
      <c r="H30" s="74">
        <v>97.515720000000002</v>
      </c>
      <c r="I30" s="73">
        <v>37587</v>
      </c>
      <c r="J30" s="73">
        <v>37160</v>
      </c>
      <c r="K30" s="74">
        <v>98.863968</v>
      </c>
      <c r="L30" s="78"/>
    </row>
    <row r="31" spans="1:12" ht="25" customHeight="1" x14ac:dyDescent="0.2">
      <c r="A31" s="11" t="s">
        <v>188</v>
      </c>
      <c r="B31" s="11" t="s">
        <v>189</v>
      </c>
      <c r="C31" s="11" t="s">
        <v>190</v>
      </c>
      <c r="D31" s="11" t="s">
        <v>73</v>
      </c>
      <c r="E31" s="11" t="s">
        <v>49</v>
      </c>
      <c r="F31" s="73">
        <v>94279</v>
      </c>
      <c r="G31" s="73">
        <v>91281</v>
      </c>
      <c r="H31" s="74">
        <v>96.820080000000004</v>
      </c>
      <c r="I31" s="73">
        <v>99014</v>
      </c>
      <c r="J31" s="73">
        <v>94988</v>
      </c>
      <c r="K31" s="74">
        <v>95.933908000000002</v>
      </c>
      <c r="L31" s="78"/>
    </row>
    <row r="32" spans="1:12" ht="25" customHeight="1" x14ac:dyDescent="0.2">
      <c r="A32" s="11" t="s">
        <v>191</v>
      </c>
      <c r="B32" s="11" t="s">
        <v>192</v>
      </c>
      <c r="C32" s="11" t="s">
        <v>193</v>
      </c>
      <c r="D32" s="11" t="s">
        <v>77</v>
      </c>
      <c r="E32" s="11" t="s">
        <v>53</v>
      </c>
      <c r="F32" s="73">
        <v>20373</v>
      </c>
      <c r="G32" s="73">
        <v>19116</v>
      </c>
      <c r="H32" s="74">
        <v>93.830070000000006</v>
      </c>
      <c r="I32" s="73">
        <v>21823</v>
      </c>
      <c r="J32" s="73">
        <v>20496</v>
      </c>
      <c r="K32" s="74">
        <v>93.919258999999997</v>
      </c>
      <c r="L32" s="78"/>
    </row>
    <row r="33" spans="1:12" ht="25" customHeight="1" x14ac:dyDescent="0.2">
      <c r="A33" s="11" t="s">
        <v>194</v>
      </c>
      <c r="B33" s="11" t="s">
        <v>195</v>
      </c>
      <c r="C33" s="11" t="s">
        <v>196</v>
      </c>
      <c r="D33" s="11" t="s">
        <v>75</v>
      </c>
      <c r="E33" s="11" t="s">
        <v>57</v>
      </c>
      <c r="F33" s="73">
        <v>144192</v>
      </c>
      <c r="G33" s="73">
        <v>139003</v>
      </c>
      <c r="H33" s="74">
        <v>96.401330000000002</v>
      </c>
      <c r="I33" s="73">
        <v>155498</v>
      </c>
      <c r="J33" s="73">
        <v>150541</v>
      </c>
      <c r="K33" s="74">
        <v>96.812177000000005</v>
      </c>
      <c r="L33" s="78"/>
    </row>
    <row r="34" spans="1:12" ht="25" customHeight="1" x14ac:dyDescent="0.2">
      <c r="A34" s="11" t="s">
        <v>197</v>
      </c>
      <c r="B34" s="11" t="s">
        <v>198</v>
      </c>
      <c r="C34" s="11" t="s">
        <v>199</v>
      </c>
      <c r="D34" s="11" t="s">
        <v>75</v>
      </c>
      <c r="E34" s="11" t="s">
        <v>59</v>
      </c>
      <c r="F34" s="73">
        <v>59924</v>
      </c>
      <c r="G34" s="73">
        <v>59745</v>
      </c>
      <c r="H34" s="74">
        <v>99.70129</v>
      </c>
      <c r="I34" s="73">
        <v>62439</v>
      </c>
      <c r="J34" s="73">
        <v>61759</v>
      </c>
      <c r="K34" s="74">
        <v>98.910937000000004</v>
      </c>
      <c r="L34" s="78"/>
    </row>
    <row r="35" spans="1:12" ht="25" customHeight="1" x14ac:dyDescent="0.2">
      <c r="A35" s="11" t="s">
        <v>200</v>
      </c>
      <c r="B35" s="11" t="s">
        <v>201</v>
      </c>
      <c r="C35" s="11" t="s">
        <v>202</v>
      </c>
      <c r="D35" s="11" t="s">
        <v>73</v>
      </c>
      <c r="E35" s="11" t="s">
        <v>61</v>
      </c>
      <c r="F35" s="73">
        <v>128468</v>
      </c>
      <c r="G35" s="73">
        <v>123909</v>
      </c>
      <c r="H35" s="74">
        <v>96.451260000000005</v>
      </c>
      <c r="I35" s="73">
        <v>138459</v>
      </c>
      <c r="J35" s="73">
        <v>131925</v>
      </c>
      <c r="K35" s="74">
        <v>95.280912999999998</v>
      </c>
      <c r="L35" s="78"/>
    </row>
    <row r="36" spans="1:12" ht="25" customHeight="1" x14ac:dyDescent="0.2">
      <c r="A36" s="11" t="s">
        <v>203</v>
      </c>
      <c r="B36" s="11" t="s">
        <v>204</v>
      </c>
      <c r="C36" s="11" t="s">
        <v>205</v>
      </c>
      <c r="D36" s="11" t="s">
        <v>77</v>
      </c>
      <c r="E36" s="11" t="s">
        <v>55</v>
      </c>
      <c r="F36" s="73">
        <v>54285</v>
      </c>
      <c r="G36" s="73">
        <v>53567</v>
      </c>
      <c r="H36" s="74">
        <v>98.677350000000004</v>
      </c>
      <c r="I36" s="73">
        <v>57468</v>
      </c>
      <c r="J36" s="73">
        <v>55997</v>
      </c>
      <c r="K36" s="74">
        <v>97.440314000000001</v>
      </c>
      <c r="L36" s="78"/>
    </row>
    <row r="37" spans="1:12" ht="25" customHeight="1" x14ac:dyDescent="0.2">
      <c r="A37" s="11" t="s">
        <v>206</v>
      </c>
      <c r="B37" s="11" t="s">
        <v>207</v>
      </c>
      <c r="C37" s="11" t="s">
        <v>208</v>
      </c>
      <c r="D37" s="11" t="s">
        <v>77</v>
      </c>
      <c r="E37" s="11" t="s">
        <v>55</v>
      </c>
      <c r="F37" s="73">
        <v>39696</v>
      </c>
      <c r="G37" s="73">
        <v>38384</v>
      </c>
      <c r="H37" s="74">
        <v>96.694879999999998</v>
      </c>
      <c r="I37" s="73">
        <v>42866</v>
      </c>
      <c r="J37" s="73">
        <v>41019</v>
      </c>
      <c r="K37" s="74">
        <v>95.691222999999994</v>
      </c>
      <c r="L37" s="78"/>
    </row>
    <row r="38" spans="1:12" ht="25" customHeight="1" x14ac:dyDescent="0.2">
      <c r="A38" s="11" t="s">
        <v>209</v>
      </c>
      <c r="B38" s="11" t="s">
        <v>210</v>
      </c>
      <c r="C38" s="11" t="s">
        <v>211</v>
      </c>
      <c r="D38" s="11" t="s">
        <v>71</v>
      </c>
      <c r="E38" s="11" t="s">
        <v>65</v>
      </c>
      <c r="F38" s="73">
        <v>141815</v>
      </c>
      <c r="G38" s="73">
        <v>132509</v>
      </c>
      <c r="H38" s="74">
        <v>93.437929999999994</v>
      </c>
      <c r="I38" s="73">
        <v>155824</v>
      </c>
      <c r="J38" s="73">
        <v>146583</v>
      </c>
      <c r="K38" s="74">
        <v>94.069591000000003</v>
      </c>
      <c r="L38" s="78"/>
    </row>
    <row r="39" spans="1:12" ht="25" customHeight="1" x14ac:dyDescent="0.2">
      <c r="A39" s="11" t="s">
        <v>212</v>
      </c>
      <c r="B39" s="11" t="s">
        <v>213</v>
      </c>
      <c r="C39" s="11" t="s">
        <v>214</v>
      </c>
      <c r="D39" s="11" t="s">
        <v>77</v>
      </c>
      <c r="E39" s="11" t="s">
        <v>55</v>
      </c>
      <c r="F39" s="73">
        <v>25867</v>
      </c>
      <c r="G39" s="73">
        <v>25319</v>
      </c>
      <c r="H39" s="74">
        <v>97.881469999999993</v>
      </c>
      <c r="I39" s="73">
        <v>29691</v>
      </c>
      <c r="J39" s="73">
        <v>28650</v>
      </c>
      <c r="K39" s="74">
        <v>96.493887000000001</v>
      </c>
      <c r="L39" s="78"/>
    </row>
    <row r="40" spans="1:12" ht="25" customHeight="1" x14ac:dyDescent="0.2">
      <c r="A40" s="11" t="s">
        <v>215</v>
      </c>
      <c r="B40" s="11" t="s">
        <v>216</v>
      </c>
      <c r="C40" s="11" t="s">
        <v>217</v>
      </c>
      <c r="D40" s="11" t="s">
        <v>75</v>
      </c>
      <c r="E40" s="11" t="s">
        <v>59</v>
      </c>
      <c r="F40" s="73">
        <v>111066</v>
      </c>
      <c r="G40" s="73">
        <v>107234</v>
      </c>
      <c r="H40" s="74">
        <v>96.549800000000005</v>
      </c>
      <c r="I40" s="73">
        <v>127819</v>
      </c>
      <c r="J40" s="73">
        <v>117626</v>
      </c>
      <c r="K40" s="74">
        <v>92.025441999999998</v>
      </c>
      <c r="L40" s="78"/>
    </row>
    <row r="41" spans="1:12" ht="25" customHeight="1" x14ac:dyDescent="0.2">
      <c r="A41" s="11" t="s">
        <v>218</v>
      </c>
      <c r="B41" s="11" t="s">
        <v>219</v>
      </c>
      <c r="C41" s="11" t="s">
        <v>220</v>
      </c>
      <c r="D41" s="11" t="s">
        <v>75</v>
      </c>
      <c r="E41" s="11" t="s">
        <v>57</v>
      </c>
      <c r="F41" s="73">
        <v>239940</v>
      </c>
      <c r="G41" s="73">
        <v>232202</v>
      </c>
      <c r="H41" s="74">
        <v>96.775030000000001</v>
      </c>
      <c r="I41" s="73">
        <v>255902</v>
      </c>
      <c r="J41" s="73">
        <v>247780</v>
      </c>
      <c r="K41" s="74">
        <v>96.826127999999997</v>
      </c>
      <c r="L41" s="78"/>
    </row>
    <row r="42" spans="1:12" ht="25" customHeight="1" x14ac:dyDescent="0.2">
      <c r="A42" s="11" t="s">
        <v>221</v>
      </c>
      <c r="B42" s="11" t="s">
        <v>222</v>
      </c>
      <c r="C42" s="11" t="s">
        <v>223</v>
      </c>
      <c r="D42" s="11" t="s">
        <v>77</v>
      </c>
      <c r="E42" s="11" t="s">
        <v>55</v>
      </c>
      <c r="F42" s="73">
        <v>32453</v>
      </c>
      <c r="G42" s="73">
        <v>31516</v>
      </c>
      <c r="H42" s="74">
        <v>97.112750000000005</v>
      </c>
      <c r="I42" s="73">
        <v>35949</v>
      </c>
      <c r="J42" s="73">
        <v>34469</v>
      </c>
      <c r="K42" s="74">
        <v>95.883055999999996</v>
      </c>
      <c r="L42" s="78"/>
    </row>
    <row r="43" spans="1:12" ht="25" customHeight="1" x14ac:dyDescent="0.2">
      <c r="A43" s="11" t="s">
        <v>224</v>
      </c>
      <c r="B43" s="11" t="s">
        <v>225</v>
      </c>
      <c r="C43" s="11" t="s">
        <v>226</v>
      </c>
      <c r="D43" s="11" t="s">
        <v>71</v>
      </c>
      <c r="E43" s="11" t="s">
        <v>65</v>
      </c>
      <c r="F43" s="73">
        <v>87825</v>
      </c>
      <c r="G43" s="73">
        <v>85280</v>
      </c>
      <c r="H43" s="74">
        <v>97.102189999999993</v>
      </c>
      <c r="I43" s="73">
        <v>95925</v>
      </c>
      <c r="J43" s="73">
        <v>93350</v>
      </c>
      <c r="K43" s="74">
        <v>97.315611000000004</v>
      </c>
      <c r="L43" s="78"/>
    </row>
    <row r="44" spans="1:12" ht="25" customHeight="1" x14ac:dyDescent="0.2">
      <c r="A44" s="11" t="s">
        <v>227</v>
      </c>
      <c r="B44" s="11" t="s">
        <v>228</v>
      </c>
      <c r="C44" s="11" t="s">
        <v>229</v>
      </c>
      <c r="D44" s="11" t="s">
        <v>77</v>
      </c>
      <c r="E44" s="11" t="s">
        <v>63</v>
      </c>
      <c r="F44" s="73">
        <v>28936</v>
      </c>
      <c r="G44" s="73">
        <v>28274</v>
      </c>
      <c r="H44" s="74">
        <v>97.712190000000007</v>
      </c>
      <c r="I44" s="73">
        <v>32309</v>
      </c>
      <c r="J44" s="73">
        <v>30912</v>
      </c>
      <c r="K44" s="74">
        <v>95.676126999999994</v>
      </c>
      <c r="L44" s="78"/>
    </row>
    <row r="45" spans="1:12" ht="25" customHeight="1" x14ac:dyDescent="0.2">
      <c r="A45" s="11" t="s">
        <v>230</v>
      </c>
      <c r="B45" s="11" t="s">
        <v>231</v>
      </c>
      <c r="C45" s="11" t="s">
        <v>232</v>
      </c>
      <c r="D45" s="11" t="s">
        <v>77</v>
      </c>
      <c r="E45" s="11" t="s">
        <v>55</v>
      </c>
      <c r="F45" s="73">
        <v>40955</v>
      </c>
      <c r="G45" s="73">
        <v>39771</v>
      </c>
      <c r="H45" s="74">
        <v>97.109020000000001</v>
      </c>
      <c r="I45" s="73">
        <v>45993</v>
      </c>
      <c r="J45" s="73">
        <v>43573</v>
      </c>
      <c r="K45" s="74">
        <v>94.738328999999993</v>
      </c>
      <c r="L45" s="78"/>
    </row>
    <row r="46" spans="1:12" ht="25" customHeight="1" x14ac:dyDescent="0.2">
      <c r="A46" s="11" t="s">
        <v>233</v>
      </c>
      <c r="B46" s="11" t="s">
        <v>234</v>
      </c>
      <c r="C46" s="11" t="s">
        <v>235</v>
      </c>
      <c r="D46" s="11" t="s">
        <v>77</v>
      </c>
      <c r="E46" s="11" t="s">
        <v>53</v>
      </c>
      <c r="F46" s="73">
        <v>30447</v>
      </c>
      <c r="G46" s="73">
        <v>30199</v>
      </c>
      <c r="H46" s="74">
        <v>99.185469999999995</v>
      </c>
      <c r="I46" s="73">
        <v>32001</v>
      </c>
      <c r="J46" s="73">
        <v>31363</v>
      </c>
      <c r="K46" s="74">
        <v>98.006311999999994</v>
      </c>
      <c r="L46" s="78"/>
    </row>
    <row r="47" spans="1:12" ht="25" customHeight="1" x14ac:dyDescent="0.2">
      <c r="A47" s="11" t="s">
        <v>236</v>
      </c>
      <c r="B47" s="11" t="s">
        <v>237</v>
      </c>
      <c r="C47" s="11" t="s">
        <v>238</v>
      </c>
      <c r="D47" s="11" t="s">
        <v>75</v>
      </c>
      <c r="E47" s="11" t="s">
        <v>59</v>
      </c>
      <c r="F47" s="73">
        <v>200001</v>
      </c>
      <c r="G47" s="73">
        <v>198318</v>
      </c>
      <c r="H47" s="74">
        <v>99.158500000000004</v>
      </c>
      <c r="I47" s="73">
        <v>215768</v>
      </c>
      <c r="J47" s="73">
        <v>213247</v>
      </c>
      <c r="K47" s="74">
        <v>98.831614999999999</v>
      </c>
      <c r="L47" s="78"/>
    </row>
    <row r="48" spans="1:12" ht="25" customHeight="1" x14ac:dyDescent="0.2">
      <c r="A48" s="11" t="s">
        <v>239</v>
      </c>
      <c r="B48" s="11" t="s">
        <v>240</v>
      </c>
      <c r="C48" s="11" t="s">
        <v>241</v>
      </c>
      <c r="D48" s="11" t="s">
        <v>77</v>
      </c>
      <c r="E48" s="11" t="s">
        <v>49</v>
      </c>
      <c r="F48" s="73">
        <v>31691</v>
      </c>
      <c r="G48" s="73">
        <v>31251</v>
      </c>
      <c r="H48" s="74">
        <v>98.611590000000007</v>
      </c>
      <c r="I48" s="73">
        <v>32761</v>
      </c>
      <c r="J48" s="73">
        <v>31791</v>
      </c>
      <c r="K48" s="74">
        <v>97.039162000000005</v>
      </c>
      <c r="L48" s="78"/>
    </row>
    <row r="49" spans="1:12" ht="25" customHeight="1" x14ac:dyDescent="0.2">
      <c r="A49" s="11" t="s">
        <v>242</v>
      </c>
      <c r="B49" s="11" t="s">
        <v>243</v>
      </c>
      <c r="C49" s="11" t="s">
        <v>244</v>
      </c>
      <c r="D49" s="11" t="s">
        <v>73</v>
      </c>
      <c r="E49" s="11" t="s">
        <v>49</v>
      </c>
      <c r="F49" s="73">
        <v>49946</v>
      </c>
      <c r="G49" s="73">
        <v>48221</v>
      </c>
      <c r="H49" s="74">
        <v>96.546270000000007</v>
      </c>
      <c r="I49" s="73">
        <v>53093</v>
      </c>
      <c r="J49" s="73">
        <v>51434</v>
      </c>
      <c r="K49" s="74">
        <v>96.875293999999997</v>
      </c>
      <c r="L49" s="78"/>
    </row>
    <row r="50" spans="1:12" ht="25" customHeight="1" x14ac:dyDescent="0.2">
      <c r="A50" s="11" t="s">
        <v>245</v>
      </c>
      <c r="B50" s="11" t="s">
        <v>246</v>
      </c>
      <c r="C50" s="11" t="s">
        <v>247</v>
      </c>
      <c r="D50" s="11" t="s">
        <v>73</v>
      </c>
      <c r="E50" s="11" t="s">
        <v>61</v>
      </c>
      <c r="F50" s="73">
        <v>58397</v>
      </c>
      <c r="G50" s="73">
        <v>56991</v>
      </c>
      <c r="H50" s="74">
        <v>97.592339999999993</v>
      </c>
      <c r="I50" s="73">
        <v>61976</v>
      </c>
      <c r="J50" s="73">
        <v>60924</v>
      </c>
      <c r="K50" s="74">
        <v>98.302567999999994</v>
      </c>
      <c r="L50" s="78"/>
    </row>
    <row r="51" spans="1:12" ht="25" customHeight="1" x14ac:dyDescent="0.2">
      <c r="A51" s="11" t="s">
        <v>248</v>
      </c>
      <c r="B51" s="11" t="s">
        <v>249</v>
      </c>
      <c r="C51" s="11" t="s">
        <v>250</v>
      </c>
      <c r="D51" s="11" t="s">
        <v>77</v>
      </c>
      <c r="E51" s="11" t="s">
        <v>55</v>
      </c>
      <c r="F51" s="73">
        <v>128264</v>
      </c>
      <c r="G51" s="73">
        <v>127107</v>
      </c>
      <c r="H51" s="74">
        <v>99.097949999999997</v>
      </c>
      <c r="I51" s="73">
        <v>143359</v>
      </c>
      <c r="J51" s="73">
        <v>142081</v>
      </c>
      <c r="K51" s="74">
        <v>99.108530999999999</v>
      </c>
      <c r="L51" s="78"/>
    </row>
    <row r="52" spans="1:12" ht="25" customHeight="1" x14ac:dyDescent="0.2">
      <c r="A52" s="11" t="s">
        <v>251</v>
      </c>
      <c r="B52" s="11" t="s">
        <v>252</v>
      </c>
      <c r="C52" s="11" t="s">
        <v>253</v>
      </c>
      <c r="D52" s="11" t="s">
        <v>69</v>
      </c>
      <c r="E52" s="11" t="s">
        <v>65</v>
      </c>
      <c r="F52" s="73">
        <v>632825</v>
      </c>
      <c r="G52" s="73">
        <v>613030</v>
      </c>
      <c r="H52" s="74">
        <v>96.871960000000001</v>
      </c>
      <c r="I52" s="73">
        <v>667119</v>
      </c>
      <c r="J52" s="73">
        <v>638982</v>
      </c>
      <c r="K52" s="74">
        <v>95.782311000000007</v>
      </c>
      <c r="L52" s="78"/>
    </row>
    <row r="53" spans="1:12" ht="25" customHeight="1" x14ac:dyDescent="0.2">
      <c r="A53" s="11" t="s">
        <v>254</v>
      </c>
      <c r="B53" s="11" t="s">
        <v>255</v>
      </c>
      <c r="C53" s="11" t="s">
        <v>256</v>
      </c>
      <c r="D53" s="11" t="s">
        <v>77</v>
      </c>
      <c r="E53" s="11" t="s">
        <v>63</v>
      </c>
      <c r="F53" s="73">
        <v>38463</v>
      </c>
      <c r="G53" s="73">
        <v>37804</v>
      </c>
      <c r="H53" s="74">
        <v>98.286670000000001</v>
      </c>
      <c r="I53" s="73">
        <v>40035</v>
      </c>
      <c r="J53" s="73">
        <v>39190</v>
      </c>
      <c r="K53" s="74">
        <v>97.889346000000003</v>
      </c>
      <c r="L53" s="78"/>
    </row>
    <row r="54" spans="1:12" ht="25" customHeight="1" x14ac:dyDescent="0.2">
      <c r="A54" s="11" t="s">
        <v>257</v>
      </c>
      <c r="B54" s="11" t="s">
        <v>258</v>
      </c>
      <c r="C54" s="11" t="s">
        <v>259</v>
      </c>
      <c r="D54" s="11" t="s">
        <v>77</v>
      </c>
      <c r="E54" s="11" t="s">
        <v>59</v>
      </c>
      <c r="F54" s="73">
        <v>51247</v>
      </c>
      <c r="G54" s="73">
        <v>49944</v>
      </c>
      <c r="H54" s="74">
        <v>97.457409999999996</v>
      </c>
      <c r="I54" s="73">
        <v>57977</v>
      </c>
      <c r="J54" s="73">
        <v>55459</v>
      </c>
      <c r="K54" s="74">
        <v>95.656897999999998</v>
      </c>
      <c r="L54" s="78"/>
    </row>
    <row r="55" spans="1:12" ht="25" customHeight="1" x14ac:dyDescent="0.2">
      <c r="A55" s="11" t="s">
        <v>260</v>
      </c>
      <c r="B55" s="11" t="s">
        <v>261</v>
      </c>
      <c r="C55" s="11" t="s">
        <v>262</v>
      </c>
      <c r="D55" s="11" t="s">
        <v>77</v>
      </c>
      <c r="E55" s="11" t="s">
        <v>55</v>
      </c>
      <c r="F55" s="73">
        <v>15439</v>
      </c>
      <c r="G55" s="73">
        <v>15009</v>
      </c>
      <c r="H55" s="74">
        <v>97.214849999999998</v>
      </c>
      <c r="I55" s="73">
        <v>17499</v>
      </c>
      <c r="J55" s="73">
        <v>17464</v>
      </c>
      <c r="K55" s="74">
        <v>99.799987999999999</v>
      </c>
      <c r="L55" s="78"/>
    </row>
    <row r="56" spans="1:12" ht="25" customHeight="1" x14ac:dyDescent="0.2">
      <c r="A56" s="11" t="s">
        <v>263</v>
      </c>
      <c r="B56" s="11" t="s">
        <v>264</v>
      </c>
      <c r="C56" s="11" t="s">
        <v>265</v>
      </c>
      <c r="D56" s="11" t="s">
        <v>75</v>
      </c>
      <c r="E56" s="11" t="s">
        <v>55</v>
      </c>
      <c r="F56" s="73">
        <v>127448</v>
      </c>
      <c r="G56" s="73">
        <v>125158</v>
      </c>
      <c r="H56" s="74">
        <v>98.203190000000006</v>
      </c>
      <c r="I56" s="73">
        <v>133984</v>
      </c>
      <c r="J56" s="73">
        <v>132317</v>
      </c>
      <c r="K56" s="74">
        <v>98.755820999999997</v>
      </c>
      <c r="L56" s="78"/>
    </row>
    <row r="57" spans="1:12" ht="25" customHeight="1" x14ac:dyDescent="0.2">
      <c r="A57" s="11" t="s">
        <v>266</v>
      </c>
      <c r="B57" s="11" t="s">
        <v>267</v>
      </c>
      <c r="C57" s="11" t="s">
        <v>268</v>
      </c>
      <c r="D57" s="11" t="s">
        <v>77</v>
      </c>
      <c r="E57" s="11" t="s">
        <v>53</v>
      </c>
      <c r="F57" s="73">
        <v>54779</v>
      </c>
      <c r="G57" s="73">
        <v>53135</v>
      </c>
      <c r="H57" s="74">
        <v>96.998850000000004</v>
      </c>
      <c r="I57" s="73">
        <v>58625</v>
      </c>
      <c r="J57" s="73">
        <v>56008</v>
      </c>
      <c r="K57" s="74">
        <v>95.536034000000001</v>
      </c>
      <c r="L57" s="78"/>
    </row>
    <row r="58" spans="1:12" ht="25" customHeight="1" x14ac:dyDescent="0.2">
      <c r="A58" s="11" t="s">
        <v>269</v>
      </c>
      <c r="B58" s="11" t="s">
        <v>270</v>
      </c>
      <c r="C58" s="11" t="s">
        <v>271</v>
      </c>
      <c r="D58" s="11" t="s">
        <v>77</v>
      </c>
      <c r="E58" s="11" t="s">
        <v>55</v>
      </c>
      <c r="F58" s="73">
        <v>83716</v>
      </c>
      <c r="G58" s="73">
        <v>81537</v>
      </c>
      <c r="H58" s="74">
        <v>97.397149999999996</v>
      </c>
      <c r="I58" s="73">
        <v>87519</v>
      </c>
      <c r="J58" s="73">
        <v>84471</v>
      </c>
      <c r="K58" s="74">
        <v>96.517326999999995</v>
      </c>
      <c r="L58" s="78"/>
    </row>
    <row r="59" spans="1:12" ht="25" customHeight="1" x14ac:dyDescent="0.2">
      <c r="A59" s="11" t="s">
        <v>272</v>
      </c>
      <c r="B59" s="11" t="s">
        <v>273</v>
      </c>
      <c r="C59" s="11" t="s">
        <v>274</v>
      </c>
      <c r="D59" s="11" t="s">
        <v>77</v>
      </c>
      <c r="E59" s="11" t="s">
        <v>57</v>
      </c>
      <c r="F59" s="73">
        <v>58903</v>
      </c>
      <c r="G59" s="73">
        <v>57267</v>
      </c>
      <c r="H59" s="74">
        <v>97.222549999999998</v>
      </c>
      <c r="I59" s="73">
        <v>63962</v>
      </c>
      <c r="J59" s="73">
        <v>62165</v>
      </c>
      <c r="K59" s="74">
        <v>97.190518999999995</v>
      </c>
      <c r="L59" s="78"/>
    </row>
    <row r="60" spans="1:12" ht="25" customHeight="1" x14ac:dyDescent="0.2">
      <c r="A60" s="11" t="s">
        <v>275</v>
      </c>
      <c r="B60" s="11" t="s">
        <v>276</v>
      </c>
      <c r="C60" s="11" t="s">
        <v>277</v>
      </c>
      <c r="D60" s="11" t="s">
        <v>77</v>
      </c>
      <c r="E60" s="11" t="s">
        <v>59</v>
      </c>
      <c r="F60" s="73">
        <v>114993</v>
      </c>
      <c r="G60" s="73">
        <v>113649</v>
      </c>
      <c r="H60" s="74">
        <v>98.831230000000005</v>
      </c>
      <c r="I60" s="73">
        <v>125970</v>
      </c>
      <c r="J60" s="73">
        <v>123127</v>
      </c>
      <c r="K60" s="74">
        <v>97.743112999999994</v>
      </c>
      <c r="L60" s="78"/>
    </row>
    <row r="61" spans="1:12" ht="25" customHeight="1" x14ac:dyDescent="0.2">
      <c r="A61" s="11" t="s">
        <v>278</v>
      </c>
      <c r="B61" s="11" t="s">
        <v>279</v>
      </c>
      <c r="C61" s="11" t="s">
        <v>280</v>
      </c>
      <c r="D61" s="11" t="s">
        <v>75</v>
      </c>
      <c r="E61" s="11" t="s">
        <v>49</v>
      </c>
      <c r="F61" s="73">
        <v>154440</v>
      </c>
      <c r="G61" s="73">
        <v>151178</v>
      </c>
      <c r="H61" s="74">
        <v>97.88785</v>
      </c>
      <c r="I61" s="73">
        <v>164846</v>
      </c>
      <c r="J61" s="73">
        <v>161317</v>
      </c>
      <c r="K61" s="74">
        <v>97.859213999999994</v>
      </c>
      <c r="L61" s="78"/>
    </row>
    <row r="62" spans="1:12" ht="25" customHeight="1" x14ac:dyDescent="0.2">
      <c r="A62" s="11" t="s">
        <v>281</v>
      </c>
      <c r="B62" s="11" t="s">
        <v>282</v>
      </c>
      <c r="C62" s="11" t="s">
        <v>283</v>
      </c>
      <c r="D62" s="11" t="s">
        <v>75</v>
      </c>
      <c r="E62" s="11" t="s">
        <v>49</v>
      </c>
      <c r="F62" s="73">
        <v>166801</v>
      </c>
      <c r="G62" s="73">
        <v>163807</v>
      </c>
      <c r="H62" s="74">
        <v>98.20505</v>
      </c>
      <c r="I62" s="73">
        <v>175725</v>
      </c>
      <c r="J62" s="73">
        <v>171238</v>
      </c>
      <c r="K62" s="74">
        <v>97.446578000000002</v>
      </c>
      <c r="L62" s="78"/>
    </row>
    <row r="63" spans="1:12" ht="25" customHeight="1" x14ac:dyDescent="0.2">
      <c r="A63" s="11" t="s">
        <v>284</v>
      </c>
      <c r="B63" s="11" t="s">
        <v>285</v>
      </c>
      <c r="C63" s="11" t="s">
        <v>286</v>
      </c>
      <c r="D63" s="11" t="s">
        <v>77</v>
      </c>
      <c r="E63" s="11" t="s">
        <v>53</v>
      </c>
      <c r="F63" s="73">
        <v>42697</v>
      </c>
      <c r="G63" s="73">
        <v>41527</v>
      </c>
      <c r="H63" s="74">
        <v>97.25976</v>
      </c>
      <c r="I63" s="73">
        <v>45220</v>
      </c>
      <c r="J63" s="73">
        <v>43871</v>
      </c>
      <c r="K63" s="74">
        <v>97.016806000000003</v>
      </c>
      <c r="L63" s="78"/>
    </row>
    <row r="64" spans="1:12" ht="25" customHeight="1" x14ac:dyDescent="0.2">
      <c r="A64" s="11" t="s">
        <v>287</v>
      </c>
      <c r="B64" s="11" t="s">
        <v>288</v>
      </c>
      <c r="C64" s="11" t="s">
        <v>289</v>
      </c>
      <c r="D64" s="11" t="s">
        <v>77</v>
      </c>
      <c r="E64" s="11" t="s">
        <v>59</v>
      </c>
      <c r="F64" s="73">
        <v>46685</v>
      </c>
      <c r="G64" s="73">
        <v>45616</v>
      </c>
      <c r="H64" s="74">
        <v>97.710189999999997</v>
      </c>
      <c r="I64" s="73">
        <v>51072</v>
      </c>
      <c r="J64" s="73">
        <v>49252</v>
      </c>
      <c r="K64" s="74">
        <v>96.436402999999999</v>
      </c>
      <c r="L64" s="78"/>
    </row>
    <row r="65" spans="1:12" ht="25" customHeight="1" x14ac:dyDescent="0.2">
      <c r="A65" s="11" t="s">
        <v>290</v>
      </c>
      <c r="B65" s="11" t="s">
        <v>291</v>
      </c>
      <c r="C65" s="11" t="s">
        <v>292</v>
      </c>
      <c r="D65" s="11" t="s">
        <v>77</v>
      </c>
      <c r="E65" s="11" t="s">
        <v>49</v>
      </c>
      <c r="F65" s="73">
        <v>28662</v>
      </c>
      <c r="G65" s="73">
        <v>28101</v>
      </c>
      <c r="H65" s="74">
        <v>98.042699999999996</v>
      </c>
      <c r="I65" s="73">
        <v>30695</v>
      </c>
      <c r="J65" s="73">
        <v>29949</v>
      </c>
      <c r="K65" s="74">
        <v>97.569636000000003</v>
      </c>
      <c r="L65" s="78"/>
    </row>
    <row r="66" spans="1:12" ht="25" customHeight="1" x14ac:dyDescent="0.2">
      <c r="A66" s="11" t="s">
        <v>293</v>
      </c>
      <c r="B66" s="11" t="s">
        <v>294</v>
      </c>
      <c r="C66" s="11" t="s">
        <v>295</v>
      </c>
      <c r="D66" s="11" t="s">
        <v>69</v>
      </c>
      <c r="E66" s="11" t="s">
        <v>65</v>
      </c>
      <c r="F66" s="73">
        <v>1323484</v>
      </c>
      <c r="G66" s="73">
        <v>1307387</v>
      </c>
      <c r="H66" s="74">
        <v>98.783739999999995</v>
      </c>
      <c r="I66" s="73">
        <v>1370629</v>
      </c>
      <c r="J66" s="73">
        <v>1322616</v>
      </c>
      <c r="K66" s="74">
        <v>96.497009000000006</v>
      </c>
      <c r="L66" s="78"/>
    </row>
    <row r="67" spans="1:12" ht="25" customHeight="1" x14ac:dyDescent="0.2">
      <c r="A67" s="11" t="s">
        <v>296</v>
      </c>
      <c r="B67" s="11" t="s">
        <v>297</v>
      </c>
      <c r="C67" s="11" t="s">
        <v>298</v>
      </c>
      <c r="D67" s="11" t="s">
        <v>77</v>
      </c>
      <c r="E67" s="11" t="s">
        <v>55</v>
      </c>
      <c r="F67" s="73">
        <v>66445</v>
      </c>
      <c r="G67" s="73">
        <v>65147</v>
      </c>
      <c r="H67" s="74">
        <v>98.046499999999995</v>
      </c>
      <c r="I67" s="73">
        <v>71044</v>
      </c>
      <c r="J67" s="73">
        <v>69185</v>
      </c>
      <c r="K67" s="74">
        <v>97.383311000000006</v>
      </c>
      <c r="L67" s="78"/>
    </row>
    <row r="68" spans="1:12" ht="25" customHeight="1" x14ac:dyDescent="0.2">
      <c r="A68" s="11" t="s">
        <v>299</v>
      </c>
      <c r="B68" s="11" t="s">
        <v>300</v>
      </c>
      <c r="C68" s="11" t="s">
        <v>301</v>
      </c>
      <c r="D68" s="11" t="s">
        <v>75</v>
      </c>
      <c r="E68" s="11" t="s">
        <v>57</v>
      </c>
      <c r="F68" s="73">
        <v>155737</v>
      </c>
      <c r="G68" s="73">
        <v>152002</v>
      </c>
      <c r="H68" s="74">
        <v>97.601730000000003</v>
      </c>
      <c r="I68" s="73">
        <v>176611</v>
      </c>
      <c r="J68" s="73">
        <v>170906</v>
      </c>
      <c r="K68" s="74">
        <v>96.769735999999995</v>
      </c>
      <c r="L68" s="78"/>
    </row>
    <row r="69" spans="1:12" ht="25" customHeight="1" x14ac:dyDescent="0.2">
      <c r="A69" s="11" t="s">
        <v>302</v>
      </c>
      <c r="B69" s="11" t="s">
        <v>303</v>
      </c>
      <c r="C69" s="11" t="s">
        <v>304</v>
      </c>
      <c r="D69" s="11" t="s">
        <v>77</v>
      </c>
      <c r="E69" s="11" t="s">
        <v>57</v>
      </c>
      <c r="F69" s="73">
        <v>32422</v>
      </c>
      <c r="G69" s="73">
        <v>31518</v>
      </c>
      <c r="H69" s="74">
        <v>97.211770000000001</v>
      </c>
      <c r="I69" s="73">
        <v>36903</v>
      </c>
      <c r="J69" s="73">
        <v>35735</v>
      </c>
      <c r="K69" s="74">
        <v>96.834945000000005</v>
      </c>
      <c r="L69" s="78"/>
    </row>
    <row r="70" spans="1:12" ht="25" customHeight="1" x14ac:dyDescent="0.2">
      <c r="A70" s="11" t="s">
        <v>305</v>
      </c>
      <c r="B70" s="11" t="s">
        <v>306</v>
      </c>
      <c r="C70" s="11" t="s">
        <v>307</v>
      </c>
      <c r="D70" s="11" t="s">
        <v>73</v>
      </c>
      <c r="E70" s="11" t="s">
        <v>63</v>
      </c>
      <c r="F70" s="73">
        <v>132066</v>
      </c>
      <c r="G70" s="73">
        <v>124341</v>
      </c>
      <c r="H70" s="74">
        <v>94.150649999999999</v>
      </c>
      <c r="I70" s="73">
        <v>139649</v>
      </c>
      <c r="J70" s="73">
        <v>130196</v>
      </c>
      <c r="K70" s="74">
        <v>93.230885999999998</v>
      </c>
      <c r="L70" s="78"/>
    </row>
    <row r="71" spans="1:12" ht="25" customHeight="1" x14ac:dyDescent="0.2">
      <c r="A71" s="11" t="s">
        <v>308</v>
      </c>
      <c r="B71" s="11" t="s">
        <v>309</v>
      </c>
      <c r="C71" s="11" t="s">
        <v>310</v>
      </c>
      <c r="D71" s="11" t="s">
        <v>77</v>
      </c>
      <c r="E71" s="11" t="s">
        <v>59</v>
      </c>
      <c r="F71" s="73">
        <v>146184</v>
      </c>
      <c r="G71" s="73">
        <v>143899</v>
      </c>
      <c r="H71" s="74">
        <v>98.436899999999994</v>
      </c>
      <c r="I71" s="73">
        <v>148805</v>
      </c>
      <c r="J71" s="73">
        <v>146172</v>
      </c>
      <c r="K71" s="74">
        <v>98.23057</v>
      </c>
      <c r="L71" s="78"/>
    </row>
    <row r="72" spans="1:12" ht="25" customHeight="1" x14ac:dyDescent="0.2">
      <c r="A72" s="11" t="s">
        <v>311</v>
      </c>
      <c r="B72" s="11" t="s">
        <v>312</v>
      </c>
      <c r="C72" s="11" t="s">
        <v>313</v>
      </c>
      <c r="D72" s="11" t="s">
        <v>71</v>
      </c>
      <c r="E72" s="11" t="s">
        <v>65</v>
      </c>
      <c r="F72" s="73">
        <v>120411</v>
      </c>
      <c r="G72" s="73">
        <v>119917</v>
      </c>
      <c r="H72" s="74">
        <v>99.589740000000006</v>
      </c>
      <c r="I72" s="73">
        <v>132507</v>
      </c>
      <c r="J72" s="73">
        <v>124166</v>
      </c>
      <c r="K72" s="74">
        <v>93.705237999999994</v>
      </c>
      <c r="L72" s="78"/>
    </row>
    <row r="73" spans="1:12" ht="25" customHeight="1" x14ac:dyDescent="0.2">
      <c r="A73" s="11" t="s">
        <v>314</v>
      </c>
      <c r="B73" s="11" t="s">
        <v>315</v>
      </c>
      <c r="C73" s="11" t="s">
        <v>316</v>
      </c>
      <c r="D73" s="11" t="s">
        <v>75</v>
      </c>
      <c r="E73" s="11" t="s">
        <v>49</v>
      </c>
      <c r="F73" s="73">
        <v>113383</v>
      </c>
      <c r="G73" s="73">
        <v>110157</v>
      </c>
      <c r="H73" s="74">
        <v>97.154780000000002</v>
      </c>
      <c r="I73" s="73">
        <v>120193</v>
      </c>
      <c r="J73" s="73">
        <v>116338</v>
      </c>
      <c r="K73" s="74">
        <v>96.792658000000003</v>
      </c>
      <c r="L73" s="78"/>
    </row>
    <row r="74" spans="1:12" ht="25" customHeight="1" x14ac:dyDescent="0.2">
      <c r="A74" s="11" t="s">
        <v>317</v>
      </c>
      <c r="B74" s="11" t="s">
        <v>318</v>
      </c>
      <c r="C74" s="11" t="s">
        <v>319</v>
      </c>
      <c r="D74" s="11" t="s">
        <v>77</v>
      </c>
      <c r="E74" s="11" t="s">
        <v>55</v>
      </c>
      <c r="F74" s="73">
        <v>76710</v>
      </c>
      <c r="G74" s="73">
        <v>74265</v>
      </c>
      <c r="H74" s="74">
        <v>96.812669999999997</v>
      </c>
      <c r="I74" s="73">
        <v>81642</v>
      </c>
      <c r="J74" s="73">
        <v>77956</v>
      </c>
      <c r="K74" s="74">
        <v>95.485166000000007</v>
      </c>
      <c r="L74" s="78"/>
    </row>
    <row r="75" spans="1:12" ht="25" customHeight="1" x14ac:dyDescent="0.2">
      <c r="A75" s="11" t="s">
        <v>320</v>
      </c>
      <c r="B75" s="11" t="s">
        <v>321</v>
      </c>
      <c r="C75" s="11" t="s">
        <v>322</v>
      </c>
      <c r="D75" s="11" t="s">
        <v>75</v>
      </c>
      <c r="E75" s="11" t="s">
        <v>51</v>
      </c>
      <c r="F75" s="73">
        <v>34062</v>
      </c>
      <c r="G75" s="73">
        <v>33782</v>
      </c>
      <c r="H75" s="74">
        <v>99.177970000000002</v>
      </c>
      <c r="I75" s="73">
        <v>36725</v>
      </c>
      <c r="J75" s="73">
        <v>36154</v>
      </c>
      <c r="K75" s="74">
        <v>98.4452</v>
      </c>
      <c r="L75" s="78"/>
    </row>
    <row r="76" spans="1:12" ht="25" customHeight="1" x14ac:dyDescent="0.2">
      <c r="A76" s="11" t="s">
        <v>323</v>
      </c>
      <c r="B76" s="11" t="s">
        <v>324</v>
      </c>
      <c r="C76" s="11" t="s">
        <v>325</v>
      </c>
      <c r="D76" s="11" t="s">
        <v>77</v>
      </c>
      <c r="E76" s="11" t="s">
        <v>59</v>
      </c>
      <c r="F76" s="73">
        <v>96997</v>
      </c>
      <c r="G76" s="73">
        <v>93879</v>
      </c>
      <c r="H76" s="74">
        <v>96.785470000000004</v>
      </c>
      <c r="I76" s="73">
        <v>101739</v>
      </c>
      <c r="J76" s="73">
        <v>98267</v>
      </c>
      <c r="K76" s="74">
        <v>96.587345999999997</v>
      </c>
      <c r="L76" s="78"/>
    </row>
    <row r="77" spans="1:12" ht="25" customHeight="1" x14ac:dyDescent="0.2">
      <c r="A77" s="11" t="s">
        <v>326</v>
      </c>
      <c r="B77" s="11" t="s">
        <v>327</v>
      </c>
      <c r="C77" s="11" t="s">
        <v>328</v>
      </c>
      <c r="D77" s="11" t="s">
        <v>75</v>
      </c>
      <c r="E77" s="11" t="s">
        <v>53</v>
      </c>
      <c r="F77" s="73">
        <v>97658</v>
      </c>
      <c r="G77" s="73">
        <v>94526</v>
      </c>
      <c r="H77" s="74">
        <v>96.79289</v>
      </c>
      <c r="I77" s="73">
        <v>103500</v>
      </c>
      <c r="J77" s="73">
        <v>99161</v>
      </c>
      <c r="K77" s="74">
        <v>95.807728999999995</v>
      </c>
      <c r="L77" s="78"/>
    </row>
    <row r="78" spans="1:12" ht="25" customHeight="1" x14ac:dyDescent="0.2">
      <c r="A78" s="11" t="s">
        <v>329</v>
      </c>
      <c r="B78" s="11" t="s">
        <v>330</v>
      </c>
      <c r="C78" s="11" t="s">
        <v>331</v>
      </c>
      <c r="D78" s="11" t="s">
        <v>77</v>
      </c>
      <c r="E78" s="11" t="s">
        <v>53</v>
      </c>
      <c r="F78" s="73">
        <v>17734</v>
      </c>
      <c r="G78" s="73">
        <v>17341</v>
      </c>
      <c r="H78" s="74">
        <v>97.783919999999995</v>
      </c>
      <c r="I78" s="73">
        <v>19891</v>
      </c>
      <c r="J78" s="73">
        <v>19295</v>
      </c>
      <c r="K78" s="74">
        <v>97.00367</v>
      </c>
      <c r="L78" s="78"/>
    </row>
    <row r="79" spans="1:12" ht="25" customHeight="1" x14ac:dyDescent="0.2">
      <c r="A79" s="11" t="s">
        <v>332</v>
      </c>
      <c r="B79" s="11" t="s">
        <v>333</v>
      </c>
      <c r="C79" s="11" t="s">
        <v>334</v>
      </c>
      <c r="D79" s="11" t="s">
        <v>73</v>
      </c>
      <c r="E79" s="11" t="s">
        <v>61</v>
      </c>
      <c r="F79" s="73">
        <v>117186</v>
      </c>
      <c r="G79" s="73">
        <v>113924</v>
      </c>
      <c r="H79" s="74">
        <v>97.216390000000004</v>
      </c>
      <c r="I79" s="73">
        <v>121749</v>
      </c>
      <c r="J79" s="73">
        <v>118022</v>
      </c>
      <c r="K79" s="74">
        <v>96.938783000000001</v>
      </c>
      <c r="L79" s="78"/>
    </row>
    <row r="80" spans="1:12" ht="25" customHeight="1" x14ac:dyDescent="0.2">
      <c r="A80" s="11" t="s">
        <v>335</v>
      </c>
      <c r="B80" s="11" t="s">
        <v>336</v>
      </c>
      <c r="C80" s="11" t="s">
        <v>337</v>
      </c>
      <c r="D80" s="11" t="s">
        <v>75</v>
      </c>
      <c r="E80" s="11" t="s">
        <v>57</v>
      </c>
      <c r="F80" s="73">
        <v>103928</v>
      </c>
      <c r="G80" s="73">
        <v>100467</v>
      </c>
      <c r="H80" s="74">
        <v>96.669809999999998</v>
      </c>
      <c r="I80" s="73">
        <v>118142</v>
      </c>
      <c r="J80" s="73">
        <v>112854</v>
      </c>
      <c r="K80" s="74">
        <v>95.524029999999996</v>
      </c>
      <c r="L80" s="78"/>
    </row>
    <row r="81" spans="1:12" ht="25" customHeight="1" x14ac:dyDescent="0.2">
      <c r="A81" s="11" t="s">
        <v>338</v>
      </c>
      <c r="B81" s="11" t="s">
        <v>339</v>
      </c>
      <c r="C81" s="11" t="s">
        <v>340</v>
      </c>
      <c r="D81" s="11" t="s">
        <v>77</v>
      </c>
      <c r="E81" s="11" t="s">
        <v>59</v>
      </c>
      <c r="F81" s="73">
        <v>53610</v>
      </c>
      <c r="G81" s="73">
        <v>52747</v>
      </c>
      <c r="H81" s="74">
        <v>98.390230000000003</v>
      </c>
      <c r="I81" s="73">
        <v>56880</v>
      </c>
      <c r="J81" s="73">
        <v>54808</v>
      </c>
      <c r="K81" s="74">
        <v>96.357242999999997</v>
      </c>
      <c r="L81" s="78"/>
    </row>
    <row r="82" spans="1:12" ht="25" customHeight="1" x14ac:dyDescent="0.2">
      <c r="A82" s="11" t="s">
        <v>341</v>
      </c>
      <c r="B82" s="11" t="s">
        <v>342</v>
      </c>
      <c r="C82" s="11" t="s">
        <v>343</v>
      </c>
      <c r="D82" s="11" t="s">
        <v>73</v>
      </c>
      <c r="E82" s="11" t="s">
        <v>63</v>
      </c>
      <c r="F82" s="73">
        <v>87463</v>
      </c>
      <c r="G82" s="73">
        <v>84440</v>
      </c>
      <c r="H82" s="74">
        <v>96.543679999999995</v>
      </c>
      <c r="I82" s="73">
        <v>93388</v>
      </c>
      <c r="J82" s="73">
        <v>88720</v>
      </c>
      <c r="K82" s="74">
        <v>95.001498999999995</v>
      </c>
      <c r="L82" s="78"/>
    </row>
    <row r="83" spans="1:12" ht="25" customHeight="1" x14ac:dyDescent="0.2">
      <c r="A83" s="11" t="s">
        <v>344</v>
      </c>
      <c r="B83" s="11" t="s">
        <v>345</v>
      </c>
      <c r="C83" s="11" t="s">
        <v>346</v>
      </c>
      <c r="D83" s="11" t="s">
        <v>75</v>
      </c>
      <c r="E83" s="11" t="s">
        <v>51</v>
      </c>
      <c r="F83" s="73">
        <v>127970</v>
      </c>
      <c r="G83" s="73">
        <v>125755</v>
      </c>
      <c r="H83" s="74">
        <v>98.269130000000004</v>
      </c>
      <c r="I83" s="73">
        <v>136272</v>
      </c>
      <c r="J83" s="73">
        <v>132440</v>
      </c>
      <c r="K83" s="74">
        <v>97.187976000000006</v>
      </c>
      <c r="L83" s="78"/>
    </row>
    <row r="84" spans="1:12" ht="25" customHeight="1" x14ac:dyDescent="0.2">
      <c r="A84" s="11" t="s">
        <v>347</v>
      </c>
      <c r="B84" s="11" t="s">
        <v>348</v>
      </c>
      <c r="C84" s="11" t="s">
        <v>349</v>
      </c>
      <c r="D84" s="11" t="s">
        <v>71</v>
      </c>
      <c r="E84" s="11" t="s">
        <v>65</v>
      </c>
      <c r="F84" s="73">
        <v>168949</v>
      </c>
      <c r="G84" s="73">
        <v>161111</v>
      </c>
      <c r="H84" s="74">
        <v>95.360730000000004</v>
      </c>
      <c r="I84" s="73">
        <v>184060</v>
      </c>
      <c r="J84" s="73">
        <v>175551</v>
      </c>
      <c r="K84" s="74">
        <v>95.377049999999997</v>
      </c>
      <c r="L84" s="78"/>
    </row>
    <row r="85" spans="1:12" ht="25" customHeight="1" x14ac:dyDescent="0.2">
      <c r="A85" s="11" t="s">
        <v>350</v>
      </c>
      <c r="B85" s="11" t="s">
        <v>351</v>
      </c>
      <c r="C85" s="11" t="s">
        <v>352</v>
      </c>
      <c r="D85" s="11" t="s">
        <v>77</v>
      </c>
      <c r="E85" s="11" t="s">
        <v>55</v>
      </c>
      <c r="F85" s="73">
        <v>26884</v>
      </c>
      <c r="G85" s="73">
        <v>26169</v>
      </c>
      <c r="H85" s="74">
        <v>97.340429999999998</v>
      </c>
      <c r="I85" s="73">
        <v>29450</v>
      </c>
      <c r="J85" s="73">
        <v>28571</v>
      </c>
      <c r="K85" s="74">
        <v>97.015280000000004</v>
      </c>
      <c r="L85" s="78"/>
    </row>
    <row r="86" spans="1:12" ht="25" customHeight="1" x14ac:dyDescent="0.2">
      <c r="A86" s="11" t="s">
        <v>353</v>
      </c>
      <c r="B86" s="11" t="s">
        <v>354</v>
      </c>
      <c r="C86" s="11" t="s">
        <v>355</v>
      </c>
      <c r="D86" s="11" t="s">
        <v>77</v>
      </c>
      <c r="E86" s="11" t="s">
        <v>57</v>
      </c>
      <c r="F86" s="73">
        <v>38801</v>
      </c>
      <c r="G86" s="73">
        <v>38396</v>
      </c>
      <c r="H86" s="74">
        <v>98.956209999999999</v>
      </c>
      <c r="I86" s="73">
        <v>43122</v>
      </c>
      <c r="J86" s="73">
        <v>42719</v>
      </c>
      <c r="K86" s="74">
        <v>99.065442000000004</v>
      </c>
      <c r="L86" s="78"/>
    </row>
    <row r="87" spans="1:12" ht="25" customHeight="1" x14ac:dyDescent="0.2">
      <c r="A87" s="11" t="s">
        <v>356</v>
      </c>
      <c r="B87" s="11" t="s">
        <v>357</v>
      </c>
      <c r="C87" s="11" t="s">
        <v>358</v>
      </c>
      <c r="D87" s="11" t="s">
        <v>77</v>
      </c>
      <c r="E87" s="11" t="s">
        <v>59</v>
      </c>
      <c r="F87" s="73">
        <v>32938</v>
      </c>
      <c r="G87" s="73">
        <v>31772</v>
      </c>
      <c r="H87" s="74">
        <v>96.46002</v>
      </c>
      <c r="I87" s="73">
        <v>36753</v>
      </c>
      <c r="J87" s="73">
        <v>35886</v>
      </c>
      <c r="K87" s="74">
        <v>97.641007999999999</v>
      </c>
      <c r="L87" s="78"/>
    </row>
    <row r="88" spans="1:12" ht="25" customHeight="1" x14ac:dyDescent="0.2">
      <c r="A88" s="11" t="s">
        <v>359</v>
      </c>
      <c r="B88" s="11" t="s">
        <v>360</v>
      </c>
      <c r="C88" s="11" t="s">
        <v>361</v>
      </c>
      <c r="D88" s="11" t="s">
        <v>77</v>
      </c>
      <c r="E88" s="11" t="s">
        <v>55</v>
      </c>
      <c r="F88" s="73">
        <v>47939</v>
      </c>
      <c r="G88" s="73">
        <v>47079</v>
      </c>
      <c r="H88" s="74">
        <v>98.206050000000005</v>
      </c>
      <c r="I88" s="73">
        <v>54448</v>
      </c>
      <c r="J88" s="73">
        <v>53001</v>
      </c>
      <c r="K88" s="74">
        <v>97.342417999999995</v>
      </c>
      <c r="L88" s="78"/>
    </row>
    <row r="89" spans="1:12" ht="25" customHeight="1" x14ac:dyDescent="0.2">
      <c r="A89" s="11" t="s">
        <v>362</v>
      </c>
      <c r="B89" s="11" t="s">
        <v>363</v>
      </c>
      <c r="C89" s="11" t="s">
        <v>364</v>
      </c>
      <c r="D89" s="11" t="s">
        <v>77</v>
      </c>
      <c r="E89" s="11" t="s">
        <v>53</v>
      </c>
      <c r="F89" s="73">
        <v>41611</v>
      </c>
      <c r="G89" s="73">
        <v>40381</v>
      </c>
      <c r="H89" s="74">
        <v>97.044049999999999</v>
      </c>
      <c r="I89" s="73">
        <v>46915</v>
      </c>
      <c r="J89" s="73">
        <v>45096</v>
      </c>
      <c r="K89" s="74">
        <v>96.122775000000004</v>
      </c>
      <c r="L89" s="78"/>
    </row>
    <row r="90" spans="1:12" ht="25" customHeight="1" x14ac:dyDescent="0.2">
      <c r="A90" s="11" t="s">
        <v>365</v>
      </c>
      <c r="B90" s="11" t="s">
        <v>366</v>
      </c>
      <c r="C90" s="11" t="s">
        <v>367</v>
      </c>
      <c r="D90" s="11" t="s">
        <v>75</v>
      </c>
      <c r="E90" s="11" t="s">
        <v>61</v>
      </c>
      <c r="F90" s="73">
        <v>118723</v>
      </c>
      <c r="G90" s="73">
        <v>116911</v>
      </c>
      <c r="H90" s="74">
        <v>98.473759999999999</v>
      </c>
      <c r="I90" s="73">
        <v>126841</v>
      </c>
      <c r="J90" s="73">
        <v>124223</v>
      </c>
      <c r="K90" s="74">
        <v>97.935997999999998</v>
      </c>
      <c r="L90" s="78"/>
    </row>
    <row r="91" spans="1:12" ht="25" customHeight="1" x14ac:dyDescent="0.2">
      <c r="A91" s="11" t="s">
        <v>368</v>
      </c>
      <c r="B91" s="11" t="s">
        <v>369</v>
      </c>
      <c r="C91" s="11" t="s">
        <v>370</v>
      </c>
      <c r="D91" s="11" t="s">
        <v>77</v>
      </c>
      <c r="E91" s="11" t="s">
        <v>63</v>
      </c>
      <c r="F91" s="73">
        <v>66736</v>
      </c>
      <c r="G91" s="73">
        <v>65525</v>
      </c>
      <c r="H91" s="74">
        <v>98.185389999999998</v>
      </c>
      <c r="I91" s="73">
        <v>68638</v>
      </c>
      <c r="J91" s="73">
        <v>66336</v>
      </c>
      <c r="K91" s="74">
        <v>96.646172000000007</v>
      </c>
      <c r="L91" s="78"/>
    </row>
    <row r="92" spans="1:12" ht="25" customHeight="1" x14ac:dyDescent="0.2">
      <c r="A92" s="11" t="s">
        <v>371</v>
      </c>
      <c r="B92" s="11" t="s">
        <v>372</v>
      </c>
      <c r="C92" s="11" t="s">
        <v>373</v>
      </c>
      <c r="D92" s="11" t="s">
        <v>77</v>
      </c>
      <c r="E92" s="11" t="s">
        <v>55</v>
      </c>
      <c r="F92" s="73">
        <v>103798</v>
      </c>
      <c r="G92" s="73">
        <v>102393</v>
      </c>
      <c r="H92" s="74">
        <v>98.646410000000003</v>
      </c>
      <c r="I92" s="73">
        <v>112779</v>
      </c>
      <c r="J92" s="73">
        <v>108067</v>
      </c>
      <c r="K92" s="74">
        <v>95.821916999999999</v>
      </c>
      <c r="L92" s="78"/>
    </row>
    <row r="93" spans="1:12" ht="25" customHeight="1" x14ac:dyDescent="0.2">
      <c r="A93" s="11" t="s">
        <v>374</v>
      </c>
      <c r="B93" s="11" t="s">
        <v>375</v>
      </c>
      <c r="C93" s="11" t="s">
        <v>376</v>
      </c>
      <c r="D93" s="11" t="s">
        <v>77</v>
      </c>
      <c r="E93" s="11" t="s">
        <v>59</v>
      </c>
      <c r="F93" s="73">
        <v>32293</v>
      </c>
      <c r="G93" s="73">
        <v>31477</v>
      </c>
      <c r="H93" s="74">
        <v>97.473140000000001</v>
      </c>
      <c r="I93" s="73">
        <v>34738</v>
      </c>
      <c r="J93" s="73">
        <v>33995</v>
      </c>
      <c r="K93" s="74">
        <v>97.861131</v>
      </c>
      <c r="L93" s="78"/>
    </row>
    <row r="94" spans="1:12" ht="25" customHeight="1" x14ac:dyDescent="0.2">
      <c r="A94" s="11" t="s">
        <v>377</v>
      </c>
      <c r="B94" s="11" t="s">
        <v>378</v>
      </c>
      <c r="C94" s="11" t="s">
        <v>379</v>
      </c>
      <c r="D94" s="11" t="s">
        <v>77</v>
      </c>
      <c r="E94" s="11" t="s">
        <v>59</v>
      </c>
      <c r="F94" s="73">
        <v>65679</v>
      </c>
      <c r="G94" s="73">
        <v>64251</v>
      </c>
      <c r="H94" s="74">
        <v>97.825789999999998</v>
      </c>
      <c r="I94" s="73">
        <v>68221</v>
      </c>
      <c r="J94" s="73">
        <v>67282</v>
      </c>
      <c r="K94" s="74">
        <v>98.623589999999993</v>
      </c>
      <c r="L94" s="78"/>
    </row>
    <row r="95" spans="1:12" ht="25" customHeight="1" x14ac:dyDescent="0.2">
      <c r="A95" s="11" t="s">
        <v>380</v>
      </c>
      <c r="B95" s="11" t="s">
        <v>381</v>
      </c>
      <c r="C95" s="11" t="s">
        <v>382</v>
      </c>
      <c r="D95" s="11" t="s">
        <v>77</v>
      </c>
      <c r="E95" s="11" t="s">
        <v>59</v>
      </c>
      <c r="F95" s="73">
        <v>62949</v>
      </c>
      <c r="G95" s="73">
        <v>61814</v>
      </c>
      <c r="H95" s="74">
        <v>98.196950000000001</v>
      </c>
      <c r="I95" s="73">
        <v>67949</v>
      </c>
      <c r="J95" s="73">
        <v>66289</v>
      </c>
      <c r="K95" s="74">
        <v>97.556990999999996</v>
      </c>
      <c r="L95" s="78"/>
    </row>
    <row r="96" spans="1:12" ht="25" customHeight="1" x14ac:dyDescent="0.2">
      <c r="A96" s="11" t="s">
        <v>383</v>
      </c>
      <c r="B96" s="11" t="s">
        <v>384</v>
      </c>
      <c r="C96" s="11" t="s">
        <v>385</v>
      </c>
      <c r="D96" s="11" t="s">
        <v>71</v>
      </c>
      <c r="E96" s="11" t="s">
        <v>65</v>
      </c>
      <c r="F96" s="73">
        <v>134006</v>
      </c>
      <c r="G96" s="73">
        <v>127406</v>
      </c>
      <c r="H96" s="74">
        <v>95.074849999999998</v>
      </c>
      <c r="I96" s="73">
        <v>143191</v>
      </c>
      <c r="J96" s="73">
        <v>138728</v>
      </c>
      <c r="K96" s="74">
        <v>96.883183000000002</v>
      </c>
      <c r="L96" s="78"/>
    </row>
    <row r="97" spans="1:12" ht="25" customHeight="1" x14ac:dyDescent="0.2">
      <c r="A97" s="11" t="s">
        <v>386</v>
      </c>
      <c r="B97" s="11" t="s">
        <v>387</v>
      </c>
      <c r="C97" s="11" t="s">
        <v>388</v>
      </c>
      <c r="D97" s="11" t="s">
        <v>77</v>
      </c>
      <c r="E97" s="11" t="s">
        <v>55</v>
      </c>
      <c r="F97" s="73">
        <v>37540</v>
      </c>
      <c r="G97" s="73">
        <v>36565</v>
      </c>
      <c r="H97" s="74">
        <v>97.402770000000004</v>
      </c>
      <c r="I97" s="73">
        <v>41844</v>
      </c>
      <c r="J97" s="73">
        <v>39896</v>
      </c>
      <c r="K97" s="74">
        <v>95.344612999999995</v>
      </c>
      <c r="L97" s="78"/>
    </row>
    <row r="98" spans="1:12" ht="25" customHeight="1" x14ac:dyDescent="0.2">
      <c r="A98" s="11" t="s">
        <v>389</v>
      </c>
      <c r="B98" s="11" t="s">
        <v>390</v>
      </c>
      <c r="C98" s="11" t="s">
        <v>391</v>
      </c>
      <c r="D98" s="11" t="s">
        <v>77</v>
      </c>
      <c r="E98" s="11" t="s">
        <v>59</v>
      </c>
      <c r="F98" s="73">
        <v>23690</v>
      </c>
      <c r="G98" s="73">
        <v>23529</v>
      </c>
      <c r="H98" s="74">
        <v>99.320390000000003</v>
      </c>
      <c r="I98" s="73">
        <v>25351</v>
      </c>
      <c r="J98" s="73">
        <v>25138</v>
      </c>
      <c r="K98" s="74">
        <v>99.159796</v>
      </c>
      <c r="L98" s="78"/>
    </row>
    <row r="99" spans="1:12" ht="25" customHeight="1" x14ac:dyDescent="0.2">
      <c r="A99" s="11" t="s">
        <v>392</v>
      </c>
      <c r="B99" s="11" t="s">
        <v>393</v>
      </c>
      <c r="C99" s="11" t="s">
        <v>394</v>
      </c>
      <c r="D99" s="11" t="s">
        <v>77</v>
      </c>
      <c r="E99" s="11" t="s">
        <v>53</v>
      </c>
      <c r="F99" s="73">
        <v>25032</v>
      </c>
      <c r="G99" s="73">
        <v>23954</v>
      </c>
      <c r="H99" s="74">
        <v>95.693510000000003</v>
      </c>
      <c r="I99" s="73">
        <v>27104</v>
      </c>
      <c r="J99" s="73">
        <v>26025</v>
      </c>
      <c r="K99" s="74">
        <v>96.019036999999997</v>
      </c>
      <c r="L99" s="78"/>
    </row>
    <row r="100" spans="1:12" ht="25" customHeight="1" x14ac:dyDescent="0.2">
      <c r="A100" s="11" t="s">
        <v>395</v>
      </c>
      <c r="B100" s="11" t="s">
        <v>396</v>
      </c>
      <c r="C100" s="11" t="s">
        <v>397</v>
      </c>
      <c r="D100" s="11" t="s">
        <v>77</v>
      </c>
      <c r="E100" s="11" t="s">
        <v>57</v>
      </c>
      <c r="F100" s="73">
        <v>78108</v>
      </c>
      <c r="G100" s="73">
        <v>77498</v>
      </c>
      <c r="H100" s="74">
        <v>99.219030000000004</v>
      </c>
      <c r="I100" s="73">
        <v>82402</v>
      </c>
      <c r="J100" s="73">
        <v>80893</v>
      </c>
      <c r="K100" s="74">
        <v>98.168733000000003</v>
      </c>
      <c r="L100" s="78"/>
    </row>
    <row r="101" spans="1:12" ht="25" customHeight="1" x14ac:dyDescent="0.2">
      <c r="A101" s="11" t="s">
        <v>398</v>
      </c>
      <c r="B101" s="11" t="s">
        <v>399</v>
      </c>
      <c r="C101" s="11" t="s">
        <v>400</v>
      </c>
      <c r="D101" s="11" t="s">
        <v>77</v>
      </c>
      <c r="E101" s="11" t="s">
        <v>59</v>
      </c>
      <c r="F101" s="73">
        <v>46538</v>
      </c>
      <c r="G101" s="73">
        <v>46313</v>
      </c>
      <c r="H101" s="74">
        <v>99.51652</v>
      </c>
      <c r="I101" s="73">
        <v>48748</v>
      </c>
      <c r="J101" s="73">
        <v>48161</v>
      </c>
      <c r="K101" s="74">
        <v>98.795848000000007</v>
      </c>
      <c r="L101" s="78"/>
    </row>
    <row r="102" spans="1:12" ht="25" customHeight="1" x14ac:dyDescent="0.2">
      <c r="A102" s="11" t="s">
        <v>401</v>
      </c>
      <c r="B102" s="11" t="s">
        <v>402</v>
      </c>
      <c r="C102" s="11" t="s">
        <v>403</v>
      </c>
      <c r="D102" s="11" t="s">
        <v>77</v>
      </c>
      <c r="E102" s="11" t="s">
        <v>55</v>
      </c>
      <c r="F102" s="73">
        <v>30320</v>
      </c>
      <c r="G102" s="73">
        <v>29017</v>
      </c>
      <c r="H102" s="74">
        <v>95.702510000000004</v>
      </c>
      <c r="I102" s="73">
        <v>32068</v>
      </c>
      <c r="J102" s="73">
        <v>31698</v>
      </c>
      <c r="K102" s="74">
        <v>98.846200999999994</v>
      </c>
      <c r="L102" s="78"/>
    </row>
    <row r="103" spans="1:12" ht="25" customHeight="1" x14ac:dyDescent="0.2">
      <c r="A103" s="11" t="s">
        <v>404</v>
      </c>
      <c r="B103" s="11" t="s">
        <v>405</v>
      </c>
      <c r="C103" s="11" t="s">
        <v>406</v>
      </c>
      <c r="D103" s="11" t="s">
        <v>77</v>
      </c>
      <c r="E103" s="11" t="s">
        <v>59</v>
      </c>
      <c r="F103" s="73">
        <v>29755</v>
      </c>
      <c r="G103" s="73">
        <v>29526</v>
      </c>
      <c r="H103" s="74">
        <v>99.230379999999997</v>
      </c>
      <c r="I103" s="73">
        <v>31494</v>
      </c>
      <c r="J103" s="73">
        <v>30556</v>
      </c>
      <c r="K103" s="74">
        <v>97.021653999999998</v>
      </c>
      <c r="L103" s="78"/>
    </row>
    <row r="104" spans="1:12" ht="25" customHeight="1" x14ac:dyDescent="0.2">
      <c r="A104" s="11" t="s">
        <v>407</v>
      </c>
      <c r="B104" s="11" t="s">
        <v>408</v>
      </c>
      <c r="C104" s="11" t="s">
        <v>409</v>
      </c>
      <c r="D104" s="11" t="s">
        <v>77</v>
      </c>
      <c r="E104" s="11" t="s">
        <v>57</v>
      </c>
      <c r="F104" s="73">
        <v>15442</v>
      </c>
      <c r="G104" s="73">
        <v>15168</v>
      </c>
      <c r="H104" s="74">
        <v>98.225620000000006</v>
      </c>
      <c r="I104" s="73">
        <v>17075</v>
      </c>
      <c r="J104" s="73">
        <v>16455</v>
      </c>
      <c r="K104" s="74">
        <v>96.368960000000001</v>
      </c>
      <c r="L104" s="78"/>
    </row>
    <row r="105" spans="1:12" ht="25" customHeight="1" x14ac:dyDescent="0.2">
      <c r="A105" s="11" t="s">
        <v>410</v>
      </c>
      <c r="B105" s="11" t="s">
        <v>411</v>
      </c>
      <c r="C105" s="11" t="s">
        <v>412</v>
      </c>
      <c r="D105" s="11" t="s">
        <v>77</v>
      </c>
      <c r="E105" s="11" t="s">
        <v>49</v>
      </c>
      <c r="F105" s="73">
        <v>25248</v>
      </c>
      <c r="G105" s="73">
        <v>24748</v>
      </c>
      <c r="H105" s="74">
        <v>98.019649999999999</v>
      </c>
      <c r="I105" s="73">
        <v>28188</v>
      </c>
      <c r="J105" s="73">
        <v>27794</v>
      </c>
      <c r="K105" s="74">
        <v>98.602242000000004</v>
      </c>
      <c r="L105" s="78"/>
    </row>
    <row r="106" spans="1:12" ht="25" customHeight="1" x14ac:dyDescent="0.2">
      <c r="A106" s="11" t="s">
        <v>413</v>
      </c>
      <c r="B106" s="11" t="s">
        <v>414</v>
      </c>
      <c r="C106" s="11" t="s">
        <v>415</v>
      </c>
      <c r="D106" s="11" t="s">
        <v>73</v>
      </c>
      <c r="E106" s="11" t="s">
        <v>51</v>
      </c>
      <c r="F106" s="73">
        <v>84811</v>
      </c>
      <c r="G106" s="73">
        <v>80938</v>
      </c>
      <c r="H106" s="74">
        <v>95.43338</v>
      </c>
      <c r="I106" s="73">
        <v>89315</v>
      </c>
      <c r="J106" s="73">
        <v>84364</v>
      </c>
      <c r="K106" s="74">
        <v>94.456698000000003</v>
      </c>
      <c r="L106" s="78"/>
    </row>
    <row r="107" spans="1:12" ht="25" customHeight="1" x14ac:dyDescent="0.2">
      <c r="A107" s="11" t="s">
        <v>416</v>
      </c>
      <c r="B107" s="11" t="s">
        <v>417</v>
      </c>
      <c r="C107" s="11" t="s">
        <v>418</v>
      </c>
      <c r="D107" s="11" t="s">
        <v>77</v>
      </c>
      <c r="E107" s="11" t="s">
        <v>53</v>
      </c>
      <c r="F107" s="73">
        <v>26691</v>
      </c>
      <c r="G107" s="73">
        <v>26132</v>
      </c>
      <c r="H107" s="74">
        <v>97.905659999999997</v>
      </c>
      <c r="I107" s="73">
        <v>28067</v>
      </c>
      <c r="J107" s="73">
        <v>27399</v>
      </c>
      <c r="K107" s="74">
        <v>97.619979999999998</v>
      </c>
      <c r="L107" s="78"/>
    </row>
    <row r="108" spans="1:12" ht="25" customHeight="1" x14ac:dyDescent="0.2">
      <c r="A108" s="11" t="s">
        <v>419</v>
      </c>
      <c r="B108" s="11" t="s">
        <v>420</v>
      </c>
      <c r="C108" s="11" t="s">
        <v>421</v>
      </c>
      <c r="D108" s="11" t="s">
        <v>77</v>
      </c>
      <c r="E108" s="11" t="s">
        <v>57</v>
      </c>
      <c r="F108" s="73">
        <v>57255</v>
      </c>
      <c r="G108" s="73">
        <v>56246</v>
      </c>
      <c r="H108" s="74">
        <v>98.237710000000007</v>
      </c>
      <c r="I108" s="73">
        <v>60436</v>
      </c>
      <c r="J108" s="73">
        <v>58930</v>
      </c>
      <c r="K108" s="74">
        <v>97.508106999999995</v>
      </c>
      <c r="L108" s="78"/>
    </row>
    <row r="109" spans="1:12" ht="25" customHeight="1" x14ac:dyDescent="0.2">
      <c r="A109" s="11" t="s">
        <v>422</v>
      </c>
      <c r="B109" s="11" t="s">
        <v>423</v>
      </c>
      <c r="C109" s="11" t="s">
        <v>424</v>
      </c>
      <c r="D109" s="11" t="s">
        <v>77</v>
      </c>
      <c r="E109" s="11" t="s">
        <v>59</v>
      </c>
      <c r="F109" s="73">
        <v>19843</v>
      </c>
      <c r="G109" s="73">
        <v>18463</v>
      </c>
      <c r="H109" s="74">
        <v>93.045410000000004</v>
      </c>
      <c r="I109" s="73">
        <v>19997</v>
      </c>
      <c r="J109" s="73">
        <v>19227</v>
      </c>
      <c r="K109" s="74">
        <v>96.149422000000001</v>
      </c>
      <c r="L109" s="31"/>
    </row>
    <row r="110" spans="1:12" ht="25" customHeight="1" x14ac:dyDescent="0.2">
      <c r="A110" s="11" t="s">
        <v>425</v>
      </c>
      <c r="B110" s="11" t="s">
        <v>426</v>
      </c>
      <c r="C110" s="11" t="s">
        <v>427</v>
      </c>
      <c r="D110" s="11" t="s">
        <v>77</v>
      </c>
      <c r="E110" s="11" t="s">
        <v>59</v>
      </c>
      <c r="F110" s="73">
        <v>28267</v>
      </c>
      <c r="G110" s="73">
        <v>27726</v>
      </c>
      <c r="H110" s="74">
        <v>98.086110000000005</v>
      </c>
      <c r="I110" s="73">
        <v>30402</v>
      </c>
      <c r="J110" s="73">
        <v>29548</v>
      </c>
      <c r="K110" s="74">
        <v>97.190973999999997</v>
      </c>
      <c r="L110" s="78"/>
    </row>
    <row r="111" spans="1:12" ht="25" customHeight="1" x14ac:dyDescent="0.2">
      <c r="A111" s="11" t="s">
        <v>428</v>
      </c>
      <c r="B111" s="11" t="s">
        <v>429</v>
      </c>
      <c r="C111" s="11" t="s">
        <v>430</v>
      </c>
      <c r="D111" s="11" t="s">
        <v>77</v>
      </c>
      <c r="E111" s="11" t="s">
        <v>55</v>
      </c>
      <c r="F111" s="73">
        <v>28045</v>
      </c>
      <c r="G111" s="73">
        <v>27386</v>
      </c>
      <c r="H111" s="74">
        <v>97.650210000000001</v>
      </c>
      <c r="I111" s="73">
        <v>30753</v>
      </c>
      <c r="J111" s="73">
        <v>29848</v>
      </c>
      <c r="K111" s="74">
        <v>97.057197000000002</v>
      </c>
      <c r="L111" s="78"/>
    </row>
    <row r="112" spans="1:12" ht="25" customHeight="1" x14ac:dyDescent="0.2">
      <c r="A112" s="11" t="s">
        <v>431</v>
      </c>
      <c r="B112" s="11" t="s">
        <v>432</v>
      </c>
      <c r="C112" s="11" t="s">
        <v>433</v>
      </c>
      <c r="D112" s="11" t="s">
        <v>69</v>
      </c>
      <c r="E112" s="11" t="s">
        <v>65</v>
      </c>
      <c r="F112" s="73">
        <v>103087</v>
      </c>
      <c r="G112" s="73">
        <v>100995</v>
      </c>
      <c r="H112" s="74">
        <v>97.970650000000006</v>
      </c>
      <c r="I112" s="73">
        <v>108472</v>
      </c>
      <c r="J112" s="73">
        <v>106362</v>
      </c>
      <c r="K112" s="74">
        <v>98.054796999999994</v>
      </c>
      <c r="L112" s="78"/>
    </row>
    <row r="113" spans="1:12" ht="25" customHeight="1" x14ac:dyDescent="0.2">
      <c r="A113" s="11" t="s">
        <v>434</v>
      </c>
      <c r="B113" s="11" t="s">
        <v>435</v>
      </c>
      <c r="C113" s="11" t="s">
        <v>436</v>
      </c>
      <c r="D113" s="11" t="s">
        <v>77</v>
      </c>
      <c r="E113" s="11" t="s">
        <v>59</v>
      </c>
      <c r="F113" s="73">
        <v>84352</v>
      </c>
      <c r="G113" s="73">
        <v>82791</v>
      </c>
      <c r="H113" s="74">
        <v>98.149420000000006</v>
      </c>
      <c r="I113" s="73">
        <v>90958</v>
      </c>
      <c r="J113" s="73">
        <v>87902</v>
      </c>
      <c r="K113" s="74">
        <v>96.640207000000004</v>
      </c>
      <c r="L113" s="78"/>
    </row>
    <row r="114" spans="1:12" ht="25" customHeight="1" x14ac:dyDescent="0.2">
      <c r="A114" s="11" t="s">
        <v>437</v>
      </c>
      <c r="B114" s="11" t="s">
        <v>438</v>
      </c>
      <c r="C114" s="11" t="s">
        <v>439</v>
      </c>
      <c r="D114" s="11" t="s">
        <v>69</v>
      </c>
      <c r="E114" s="11" t="s">
        <v>65</v>
      </c>
      <c r="F114" s="73">
        <v>181454</v>
      </c>
      <c r="G114" s="73">
        <v>165371</v>
      </c>
      <c r="H114" s="74">
        <v>91.136600000000001</v>
      </c>
      <c r="I114" s="73">
        <v>197212</v>
      </c>
      <c r="J114" s="73">
        <v>181593</v>
      </c>
      <c r="K114" s="74">
        <v>92.080095999999998</v>
      </c>
      <c r="L114" s="78"/>
    </row>
    <row r="115" spans="1:12" ht="25" customHeight="1" x14ac:dyDescent="0.2">
      <c r="A115" s="11" t="s">
        <v>440</v>
      </c>
      <c r="B115" s="11" t="s">
        <v>441</v>
      </c>
      <c r="C115" s="11" t="s">
        <v>442</v>
      </c>
      <c r="D115" s="11" t="s">
        <v>75</v>
      </c>
      <c r="E115" s="11" t="s">
        <v>49</v>
      </c>
      <c r="F115" s="73">
        <v>65946</v>
      </c>
      <c r="G115" s="73">
        <v>65059</v>
      </c>
      <c r="H115" s="74">
        <v>98.654960000000003</v>
      </c>
      <c r="I115" s="73">
        <v>69883</v>
      </c>
      <c r="J115" s="73">
        <v>68050</v>
      </c>
      <c r="K115" s="74">
        <v>97.377043999999998</v>
      </c>
      <c r="L115" s="78"/>
    </row>
    <row r="116" spans="1:12" ht="25" customHeight="1" x14ac:dyDescent="0.2">
      <c r="A116" s="11" t="s">
        <v>443</v>
      </c>
      <c r="B116" s="11" t="s">
        <v>444</v>
      </c>
      <c r="C116" s="11" t="s">
        <v>445</v>
      </c>
      <c r="D116" s="11" t="s">
        <v>69</v>
      </c>
      <c r="E116" s="11" t="s">
        <v>65</v>
      </c>
      <c r="F116" s="73">
        <v>241001</v>
      </c>
      <c r="G116" s="73">
        <v>222969</v>
      </c>
      <c r="H116" s="74">
        <v>92.517870000000002</v>
      </c>
      <c r="I116" s="73">
        <v>257530</v>
      </c>
      <c r="J116" s="73">
        <v>238033</v>
      </c>
      <c r="K116" s="74">
        <v>92.429231000000001</v>
      </c>
      <c r="L116" s="78"/>
    </row>
    <row r="117" spans="1:12" ht="25" customHeight="1" x14ac:dyDescent="0.2">
      <c r="A117" s="11" t="s">
        <v>446</v>
      </c>
      <c r="B117" s="11" t="s">
        <v>447</v>
      </c>
      <c r="C117" s="11" t="s">
        <v>448</v>
      </c>
      <c r="D117" s="11" t="s">
        <v>77</v>
      </c>
      <c r="E117" s="11" t="s">
        <v>53</v>
      </c>
      <c r="F117" s="73">
        <v>63404</v>
      </c>
      <c r="G117" s="73">
        <v>62842</v>
      </c>
      <c r="H117" s="74">
        <v>99.113619999999997</v>
      </c>
      <c r="I117" s="73">
        <v>66791</v>
      </c>
      <c r="J117" s="73">
        <v>65959</v>
      </c>
      <c r="K117" s="74">
        <v>98.754322999999999</v>
      </c>
      <c r="L117" s="78"/>
    </row>
    <row r="118" spans="1:12" ht="25" customHeight="1" x14ac:dyDescent="0.2">
      <c r="A118" s="11" t="s">
        <v>449</v>
      </c>
      <c r="B118" s="11" t="s">
        <v>450</v>
      </c>
      <c r="C118" s="11" t="s">
        <v>451</v>
      </c>
      <c r="D118" s="11" t="s">
        <v>71</v>
      </c>
      <c r="E118" s="11" t="s">
        <v>65</v>
      </c>
      <c r="F118" s="73">
        <v>73487</v>
      </c>
      <c r="G118" s="73">
        <v>68098</v>
      </c>
      <c r="H118" s="74">
        <v>92.666730000000001</v>
      </c>
      <c r="I118" s="73">
        <v>83916</v>
      </c>
      <c r="J118" s="73">
        <v>78137</v>
      </c>
      <c r="K118" s="74">
        <v>93.113350999999994</v>
      </c>
      <c r="L118" s="78"/>
    </row>
    <row r="119" spans="1:12" ht="25" customHeight="1" x14ac:dyDescent="0.2">
      <c r="A119" s="11" t="s">
        <v>452</v>
      </c>
      <c r="B119" s="11" t="s">
        <v>453</v>
      </c>
      <c r="C119" s="11" t="s">
        <v>454</v>
      </c>
      <c r="D119" s="11" t="s">
        <v>77</v>
      </c>
      <c r="E119" s="11" t="s">
        <v>55</v>
      </c>
      <c r="F119" s="73">
        <v>51870</v>
      </c>
      <c r="G119" s="73">
        <v>50647</v>
      </c>
      <c r="H119" s="74">
        <v>97.642179999999996</v>
      </c>
      <c r="I119" s="73">
        <v>54093</v>
      </c>
      <c r="J119" s="73">
        <v>50929</v>
      </c>
      <c r="K119" s="74">
        <v>94.150813999999997</v>
      </c>
      <c r="L119" s="78"/>
    </row>
    <row r="120" spans="1:12" ht="25" customHeight="1" x14ac:dyDescent="0.2">
      <c r="A120" s="11" t="s">
        <v>455</v>
      </c>
      <c r="B120" s="11" t="s">
        <v>456</v>
      </c>
      <c r="C120" s="11" t="s">
        <v>457</v>
      </c>
      <c r="D120" s="11" t="s">
        <v>71</v>
      </c>
      <c r="E120" s="11" t="s">
        <v>65</v>
      </c>
      <c r="F120" s="73">
        <v>47607</v>
      </c>
      <c r="G120" s="73">
        <v>44258</v>
      </c>
      <c r="H120" s="74">
        <v>92.965320000000006</v>
      </c>
      <c r="I120" s="73">
        <v>55236</v>
      </c>
      <c r="J120" s="73">
        <v>51836</v>
      </c>
      <c r="K120" s="74">
        <v>93.844594000000001</v>
      </c>
      <c r="L120" s="78"/>
    </row>
    <row r="121" spans="1:12" ht="25" customHeight="1" x14ac:dyDescent="0.2">
      <c r="A121" s="11" t="s">
        <v>458</v>
      </c>
      <c r="B121" s="11" t="s">
        <v>459</v>
      </c>
      <c r="C121" s="11" t="s">
        <v>460</v>
      </c>
      <c r="D121" s="11" t="s">
        <v>77</v>
      </c>
      <c r="E121" s="11" t="s">
        <v>59</v>
      </c>
      <c r="F121" s="73">
        <v>33644</v>
      </c>
      <c r="G121" s="73">
        <v>32688</v>
      </c>
      <c r="H121" s="74">
        <v>97.158479999999997</v>
      </c>
      <c r="I121" s="73">
        <v>36033</v>
      </c>
      <c r="J121" s="73">
        <v>34699</v>
      </c>
      <c r="K121" s="74">
        <v>96.297837999999999</v>
      </c>
      <c r="L121" s="78"/>
    </row>
    <row r="122" spans="1:12" ht="25" customHeight="1" x14ac:dyDescent="0.2">
      <c r="A122" s="11" t="s">
        <v>461</v>
      </c>
      <c r="B122" s="11" t="s">
        <v>462</v>
      </c>
      <c r="C122" s="11" t="s">
        <v>463</v>
      </c>
      <c r="D122" s="11" t="s">
        <v>75</v>
      </c>
      <c r="E122" s="11" t="s">
        <v>51</v>
      </c>
      <c r="F122" s="73">
        <v>33715</v>
      </c>
      <c r="G122" s="73">
        <v>32710</v>
      </c>
      <c r="H122" s="74">
        <v>97.019130000000004</v>
      </c>
      <c r="I122" s="73">
        <v>33741</v>
      </c>
      <c r="J122" s="73">
        <v>33218</v>
      </c>
      <c r="K122" s="74">
        <v>98.449956999999998</v>
      </c>
      <c r="L122" s="78"/>
    </row>
    <row r="123" spans="1:12" ht="25" customHeight="1" x14ac:dyDescent="0.2">
      <c r="A123" s="11" t="s">
        <v>464</v>
      </c>
      <c r="B123" s="11" t="s">
        <v>465</v>
      </c>
      <c r="C123" s="11" t="s">
        <v>466</v>
      </c>
      <c r="D123" s="11" t="s">
        <v>77</v>
      </c>
      <c r="E123" s="11" t="s">
        <v>59</v>
      </c>
      <c r="F123" s="73">
        <v>21370</v>
      </c>
      <c r="G123" s="73">
        <v>21002</v>
      </c>
      <c r="H123" s="74">
        <v>98.277959999999993</v>
      </c>
      <c r="I123" s="73">
        <v>23244</v>
      </c>
      <c r="J123" s="73">
        <v>22293</v>
      </c>
      <c r="K123" s="74">
        <v>95.908620999999997</v>
      </c>
      <c r="L123" s="78"/>
    </row>
    <row r="124" spans="1:12" ht="25" customHeight="1" x14ac:dyDescent="0.2">
      <c r="A124" s="11" t="s">
        <v>467</v>
      </c>
      <c r="B124" s="11" t="s">
        <v>468</v>
      </c>
      <c r="C124" s="11" t="s">
        <v>469</v>
      </c>
      <c r="D124" s="11" t="s">
        <v>77</v>
      </c>
      <c r="E124" s="11" t="s">
        <v>59</v>
      </c>
      <c r="F124" s="73">
        <v>36728</v>
      </c>
      <c r="G124" s="73">
        <v>35874</v>
      </c>
      <c r="H124" s="74">
        <v>97.674800000000005</v>
      </c>
      <c r="I124" s="73">
        <v>38079</v>
      </c>
      <c r="J124" s="73">
        <v>36942</v>
      </c>
      <c r="K124" s="74">
        <v>97.014101999999994</v>
      </c>
      <c r="L124" s="78"/>
    </row>
    <row r="125" spans="1:12" ht="25" customHeight="1" x14ac:dyDescent="0.2">
      <c r="A125" s="11" t="s">
        <v>470</v>
      </c>
      <c r="B125" s="11" t="s">
        <v>471</v>
      </c>
      <c r="C125" s="11" t="s">
        <v>472</v>
      </c>
      <c r="D125" s="11" t="s">
        <v>71</v>
      </c>
      <c r="E125" s="11" t="s">
        <v>65</v>
      </c>
      <c r="F125" s="73">
        <v>81991</v>
      </c>
      <c r="G125" s="73">
        <v>80997</v>
      </c>
      <c r="H125" s="74">
        <v>98.787670000000006</v>
      </c>
      <c r="I125" s="73">
        <v>88057</v>
      </c>
      <c r="J125" s="73">
        <v>86714</v>
      </c>
      <c r="K125" s="74">
        <v>98.474851000000001</v>
      </c>
      <c r="L125" s="78"/>
    </row>
    <row r="126" spans="1:12" ht="25" customHeight="1" x14ac:dyDescent="0.2">
      <c r="A126" s="11" t="s">
        <v>473</v>
      </c>
      <c r="B126" s="11" t="s">
        <v>474</v>
      </c>
      <c r="C126" s="11" t="s">
        <v>475</v>
      </c>
      <c r="D126" s="11" t="s">
        <v>75</v>
      </c>
      <c r="E126" s="11" t="s">
        <v>63</v>
      </c>
      <c r="F126" s="73">
        <v>48843</v>
      </c>
      <c r="G126" s="73">
        <v>47481</v>
      </c>
      <c r="H126" s="74">
        <v>97.211470000000006</v>
      </c>
      <c r="I126" s="73">
        <v>54855</v>
      </c>
      <c r="J126" s="73">
        <v>53206</v>
      </c>
      <c r="K126" s="74">
        <v>96.993892000000002</v>
      </c>
      <c r="L126" s="78"/>
    </row>
    <row r="127" spans="1:12" ht="25" customHeight="1" x14ac:dyDescent="0.2">
      <c r="A127" s="11" t="s">
        <v>476</v>
      </c>
      <c r="B127" s="11" t="s">
        <v>477</v>
      </c>
      <c r="C127" s="11" t="s">
        <v>478</v>
      </c>
      <c r="D127" s="11" t="s">
        <v>77</v>
      </c>
      <c r="E127" s="11" t="s">
        <v>55</v>
      </c>
      <c r="F127" s="73">
        <v>64574</v>
      </c>
      <c r="G127" s="73">
        <v>62106</v>
      </c>
      <c r="H127" s="74">
        <v>96.178030000000007</v>
      </c>
      <c r="I127" s="73">
        <v>73029</v>
      </c>
      <c r="J127" s="73">
        <v>70997</v>
      </c>
      <c r="K127" s="74">
        <v>97.217543000000006</v>
      </c>
      <c r="L127" s="78"/>
    </row>
    <row r="128" spans="1:12" ht="25" customHeight="1" x14ac:dyDescent="0.2">
      <c r="A128" s="11" t="s">
        <v>479</v>
      </c>
      <c r="B128" s="11" t="s">
        <v>480</v>
      </c>
      <c r="C128" s="11" t="s">
        <v>481</v>
      </c>
      <c r="D128" s="11" t="s">
        <v>77</v>
      </c>
      <c r="E128" s="11" t="s">
        <v>53</v>
      </c>
      <c r="F128" s="73">
        <v>30338</v>
      </c>
      <c r="G128" s="73">
        <v>29829</v>
      </c>
      <c r="H128" s="74">
        <v>98.322239999999994</v>
      </c>
      <c r="I128" s="73">
        <v>32158</v>
      </c>
      <c r="J128" s="73">
        <v>31462</v>
      </c>
      <c r="K128" s="74">
        <v>97.835685999999995</v>
      </c>
      <c r="L128" s="78"/>
    </row>
    <row r="129" spans="1:12" ht="25" customHeight="1" x14ac:dyDescent="0.2">
      <c r="A129" s="11" t="s">
        <v>482</v>
      </c>
      <c r="B129" s="11" t="s">
        <v>483</v>
      </c>
      <c r="C129" s="11" t="s">
        <v>484</v>
      </c>
      <c r="D129" s="11" t="s">
        <v>71</v>
      </c>
      <c r="E129" s="11" t="s">
        <v>65</v>
      </c>
      <c r="F129" s="73">
        <v>398145</v>
      </c>
      <c r="G129" s="73">
        <v>387666</v>
      </c>
      <c r="H129" s="74">
        <v>97.368039999999993</v>
      </c>
      <c r="I129" s="73">
        <v>412520</v>
      </c>
      <c r="J129" s="73">
        <v>401050</v>
      </c>
      <c r="K129" s="74">
        <v>97.219527999999997</v>
      </c>
      <c r="L129" s="78"/>
    </row>
    <row r="130" spans="1:12" ht="25" customHeight="1" x14ac:dyDescent="0.2">
      <c r="A130" s="11" t="s">
        <v>485</v>
      </c>
      <c r="B130" s="11" t="s">
        <v>486</v>
      </c>
      <c r="C130" s="11" t="s">
        <v>487</v>
      </c>
      <c r="D130" s="11" t="s">
        <v>77</v>
      </c>
      <c r="E130" s="11" t="s">
        <v>53</v>
      </c>
      <c r="F130" s="73">
        <v>45504</v>
      </c>
      <c r="G130" s="73">
        <v>44505</v>
      </c>
      <c r="H130" s="74">
        <v>97.804590000000005</v>
      </c>
      <c r="I130" s="73">
        <v>48610</v>
      </c>
      <c r="J130" s="73">
        <v>45612</v>
      </c>
      <c r="K130" s="74">
        <v>93.832543999999999</v>
      </c>
      <c r="L130" s="78"/>
    </row>
    <row r="131" spans="1:12" ht="25" customHeight="1" x14ac:dyDescent="0.2">
      <c r="A131" s="11" t="s">
        <v>488</v>
      </c>
      <c r="B131" s="11" t="s">
        <v>489</v>
      </c>
      <c r="C131" s="11" t="s">
        <v>490</v>
      </c>
      <c r="D131" s="11" t="s">
        <v>77</v>
      </c>
      <c r="E131" s="11" t="s">
        <v>59</v>
      </c>
      <c r="F131" s="73">
        <v>49411</v>
      </c>
      <c r="G131" s="73">
        <v>47810</v>
      </c>
      <c r="H131" s="74">
        <v>96.759829999999994</v>
      </c>
      <c r="I131" s="73">
        <v>54159</v>
      </c>
      <c r="J131" s="73">
        <v>52121</v>
      </c>
      <c r="K131" s="74">
        <v>96.237004999999996</v>
      </c>
      <c r="L131" s="78"/>
    </row>
    <row r="132" spans="1:12" ht="25" customHeight="1" x14ac:dyDescent="0.2">
      <c r="A132" s="11" t="s">
        <v>491</v>
      </c>
      <c r="B132" s="11" t="s">
        <v>492</v>
      </c>
      <c r="C132" s="11" t="s">
        <v>493</v>
      </c>
      <c r="D132" s="11" t="s">
        <v>71</v>
      </c>
      <c r="E132" s="11" t="s">
        <v>65</v>
      </c>
      <c r="F132" s="73">
        <v>218082</v>
      </c>
      <c r="G132" s="73">
        <v>208696</v>
      </c>
      <c r="H132" s="74">
        <v>95.696110000000004</v>
      </c>
      <c r="I132" s="73">
        <v>220386</v>
      </c>
      <c r="J132" s="73">
        <v>210144</v>
      </c>
      <c r="K132" s="74">
        <v>95.352699000000001</v>
      </c>
      <c r="L132" s="78"/>
    </row>
    <row r="133" spans="1:12" ht="25" customHeight="1" x14ac:dyDescent="0.2">
      <c r="A133" s="11" t="s">
        <v>494</v>
      </c>
      <c r="B133" s="11" t="s">
        <v>495</v>
      </c>
      <c r="C133" s="11" t="s">
        <v>496</v>
      </c>
      <c r="D133" s="11" t="s">
        <v>77</v>
      </c>
      <c r="E133" s="11" t="s">
        <v>55</v>
      </c>
      <c r="F133" s="73">
        <v>73219</v>
      </c>
      <c r="G133" s="73">
        <v>72332</v>
      </c>
      <c r="H133" s="74">
        <v>98.788570000000007</v>
      </c>
      <c r="I133" s="73">
        <v>78146</v>
      </c>
      <c r="J133" s="73">
        <v>76775</v>
      </c>
      <c r="K133" s="74">
        <v>98.245591000000005</v>
      </c>
      <c r="L133" s="78"/>
    </row>
    <row r="134" spans="1:12" ht="25" customHeight="1" x14ac:dyDescent="0.2">
      <c r="A134" s="11" t="s">
        <v>497</v>
      </c>
      <c r="B134" s="11" t="s">
        <v>498</v>
      </c>
      <c r="C134" s="11" t="s">
        <v>499</v>
      </c>
      <c r="D134" s="11" t="s">
        <v>77</v>
      </c>
      <c r="E134" s="11" t="s">
        <v>49</v>
      </c>
      <c r="F134" s="73">
        <v>25090</v>
      </c>
      <c r="G134" s="73">
        <v>24518</v>
      </c>
      <c r="H134" s="74">
        <v>97.720209999999994</v>
      </c>
      <c r="I134" s="73">
        <v>25614</v>
      </c>
      <c r="J134" s="73">
        <v>24915</v>
      </c>
      <c r="K134" s="74">
        <v>97.271023</v>
      </c>
      <c r="L134" s="78"/>
    </row>
    <row r="135" spans="1:12" ht="25" customHeight="1" x14ac:dyDescent="0.2">
      <c r="A135" s="11" t="s">
        <v>500</v>
      </c>
      <c r="B135" s="11" t="s">
        <v>501</v>
      </c>
      <c r="C135" s="11" t="s">
        <v>502</v>
      </c>
      <c r="D135" s="11" t="s">
        <v>77</v>
      </c>
      <c r="E135" s="11" t="s">
        <v>55</v>
      </c>
      <c r="F135" s="73">
        <v>57740</v>
      </c>
      <c r="G135" s="73">
        <v>56879</v>
      </c>
      <c r="H135" s="74">
        <v>98.508830000000003</v>
      </c>
      <c r="I135" s="73">
        <v>61818</v>
      </c>
      <c r="J135" s="73">
        <v>60537</v>
      </c>
      <c r="K135" s="74">
        <v>97.927788000000007</v>
      </c>
      <c r="L135" s="78"/>
    </row>
    <row r="136" spans="1:12" ht="25" customHeight="1" x14ac:dyDescent="0.2">
      <c r="A136" s="11" t="s">
        <v>503</v>
      </c>
      <c r="B136" s="11" t="s">
        <v>504</v>
      </c>
      <c r="C136" s="11" t="s">
        <v>505</v>
      </c>
      <c r="D136" s="11" t="s">
        <v>75</v>
      </c>
      <c r="E136" s="11" t="s">
        <v>59</v>
      </c>
      <c r="F136" s="73">
        <v>37243</v>
      </c>
      <c r="G136" s="73">
        <v>37164</v>
      </c>
      <c r="H136" s="74">
        <v>99.787880000000001</v>
      </c>
      <c r="I136" s="73">
        <v>40466</v>
      </c>
      <c r="J136" s="73">
        <v>38310</v>
      </c>
      <c r="K136" s="74">
        <v>94.672070000000005</v>
      </c>
      <c r="L136" s="31"/>
    </row>
    <row r="137" spans="1:12" ht="25" customHeight="1" x14ac:dyDescent="0.2">
      <c r="A137" s="11" t="s">
        <v>506</v>
      </c>
      <c r="B137" s="11" t="s">
        <v>507</v>
      </c>
      <c r="C137" s="11" t="s">
        <v>508</v>
      </c>
      <c r="D137" s="11" t="s">
        <v>75</v>
      </c>
      <c r="E137" s="11" t="s">
        <v>57</v>
      </c>
      <c r="F137" s="73">
        <v>1023</v>
      </c>
      <c r="G137" s="73">
        <v>999</v>
      </c>
      <c r="H137" s="74">
        <v>97.653959999999998</v>
      </c>
      <c r="I137" s="73">
        <v>1266</v>
      </c>
      <c r="J137" s="73">
        <v>1246</v>
      </c>
      <c r="K137" s="74">
        <v>98.420220999999998</v>
      </c>
      <c r="L137" s="78"/>
    </row>
    <row r="138" spans="1:12" ht="25" customHeight="1" x14ac:dyDescent="0.2">
      <c r="A138" s="11" t="s">
        <v>509</v>
      </c>
      <c r="B138" s="11" t="s">
        <v>510</v>
      </c>
      <c r="C138" s="11" t="s">
        <v>511</v>
      </c>
      <c r="D138" s="11" t="s">
        <v>69</v>
      </c>
      <c r="E138" s="11" t="s">
        <v>65</v>
      </c>
      <c r="F138" s="73">
        <v>297963</v>
      </c>
      <c r="G138" s="73">
        <v>285886</v>
      </c>
      <c r="H138" s="74">
        <v>95.946809999999999</v>
      </c>
      <c r="I138" s="73">
        <v>313071</v>
      </c>
      <c r="J138" s="73">
        <v>300736</v>
      </c>
      <c r="K138" s="74">
        <v>96.059999000000005</v>
      </c>
      <c r="L138" s="78"/>
    </row>
    <row r="139" spans="1:12" ht="25" customHeight="1" x14ac:dyDescent="0.2">
      <c r="A139" s="11" t="s">
        <v>512</v>
      </c>
      <c r="B139" s="11" t="s">
        <v>513</v>
      </c>
      <c r="C139" s="11" t="s">
        <v>514</v>
      </c>
      <c r="D139" s="11" t="s">
        <v>69</v>
      </c>
      <c r="E139" s="11" t="s">
        <v>65</v>
      </c>
      <c r="F139" s="73">
        <v>264060</v>
      </c>
      <c r="G139" s="73">
        <v>255801</v>
      </c>
      <c r="H139" s="74">
        <v>96.872299999999996</v>
      </c>
      <c r="I139" s="73">
        <v>292828</v>
      </c>
      <c r="J139" s="73">
        <v>277225</v>
      </c>
      <c r="K139" s="74">
        <v>94.671616</v>
      </c>
      <c r="L139" s="78" t="s">
        <v>39</v>
      </c>
    </row>
    <row r="140" spans="1:12" ht="25" customHeight="1" x14ac:dyDescent="0.2">
      <c r="A140" s="11" t="s">
        <v>515</v>
      </c>
      <c r="B140" s="11" t="s">
        <v>516</v>
      </c>
      <c r="C140" s="11" t="s">
        <v>517</v>
      </c>
      <c r="D140" s="11" t="s">
        <v>77</v>
      </c>
      <c r="E140" s="11" t="s">
        <v>55</v>
      </c>
      <c r="F140" s="73">
        <v>49610</v>
      </c>
      <c r="G140" s="73">
        <v>48926</v>
      </c>
      <c r="H140" s="74">
        <v>98.621250000000003</v>
      </c>
      <c r="I140" s="73">
        <v>55101</v>
      </c>
      <c r="J140" s="73">
        <v>53939</v>
      </c>
      <c r="K140" s="74">
        <v>97.891144999999995</v>
      </c>
      <c r="L140" s="78"/>
    </row>
    <row r="141" spans="1:12" ht="25" customHeight="1" x14ac:dyDescent="0.2">
      <c r="A141" s="11" t="s">
        <v>518</v>
      </c>
      <c r="B141" s="11" t="s">
        <v>519</v>
      </c>
      <c r="C141" s="11" t="s">
        <v>520</v>
      </c>
      <c r="D141" s="11" t="s">
        <v>75</v>
      </c>
      <c r="E141" s="11" t="s">
        <v>61</v>
      </c>
      <c r="F141" s="73">
        <v>89480</v>
      </c>
      <c r="G141" s="73">
        <v>86450</v>
      </c>
      <c r="H141" s="74">
        <v>96.613770000000002</v>
      </c>
      <c r="I141" s="73">
        <v>95747</v>
      </c>
      <c r="J141" s="73">
        <v>90970</v>
      </c>
      <c r="K141" s="74">
        <v>95.010808999999995</v>
      </c>
      <c r="L141" s="78"/>
    </row>
    <row r="142" spans="1:12" ht="25" customHeight="1" x14ac:dyDescent="0.2">
      <c r="A142" s="11" t="s">
        <v>521</v>
      </c>
      <c r="B142" s="11" t="s">
        <v>522</v>
      </c>
      <c r="C142" s="11" t="s">
        <v>523</v>
      </c>
      <c r="D142" s="11" t="s">
        <v>71</v>
      </c>
      <c r="E142" s="11" t="s">
        <v>65</v>
      </c>
      <c r="F142" s="73">
        <v>78194</v>
      </c>
      <c r="G142" s="73">
        <v>76638</v>
      </c>
      <c r="H142" s="74">
        <v>98.010080000000002</v>
      </c>
      <c r="I142" s="73">
        <v>86202</v>
      </c>
      <c r="J142" s="73">
        <v>83880</v>
      </c>
      <c r="K142" s="74">
        <v>97.306325999999999</v>
      </c>
      <c r="L142" s="78"/>
    </row>
    <row r="143" spans="1:12" ht="25" customHeight="1" x14ac:dyDescent="0.2">
      <c r="A143" s="11" t="s">
        <v>524</v>
      </c>
      <c r="B143" s="11" t="s">
        <v>525</v>
      </c>
      <c r="C143" s="11" t="s">
        <v>526</v>
      </c>
      <c r="D143" s="11" t="s">
        <v>73</v>
      </c>
      <c r="E143" s="11" t="s">
        <v>61</v>
      </c>
      <c r="F143" s="73">
        <v>103532</v>
      </c>
      <c r="G143" s="73">
        <v>99566</v>
      </c>
      <c r="H143" s="74">
        <v>96.169300000000007</v>
      </c>
      <c r="I143" s="73">
        <v>110947</v>
      </c>
      <c r="J143" s="73">
        <v>105819</v>
      </c>
      <c r="K143" s="74">
        <v>95.377972999999997</v>
      </c>
      <c r="L143" s="78"/>
    </row>
    <row r="144" spans="1:12" ht="25" customHeight="1" x14ac:dyDescent="0.2">
      <c r="A144" s="11" t="s">
        <v>527</v>
      </c>
      <c r="B144" s="11" t="s">
        <v>528</v>
      </c>
      <c r="C144" s="11" t="s">
        <v>529</v>
      </c>
      <c r="D144" s="11" t="s">
        <v>73</v>
      </c>
      <c r="E144" s="11" t="s">
        <v>49</v>
      </c>
      <c r="F144" s="73">
        <v>57299</v>
      </c>
      <c r="G144" s="73">
        <v>56446</v>
      </c>
      <c r="H144" s="74">
        <v>98.511319999999998</v>
      </c>
      <c r="I144" s="73">
        <v>59029</v>
      </c>
      <c r="J144" s="73">
        <v>57185</v>
      </c>
      <c r="K144" s="74">
        <v>96.876110999999995</v>
      </c>
      <c r="L144" s="78"/>
    </row>
    <row r="145" spans="1:12" ht="25" customHeight="1" x14ac:dyDescent="0.2">
      <c r="A145" s="11" t="s">
        <v>530</v>
      </c>
      <c r="B145" s="11" t="s">
        <v>531</v>
      </c>
      <c r="C145" s="11" t="s">
        <v>532</v>
      </c>
      <c r="D145" s="11" t="s">
        <v>69</v>
      </c>
      <c r="E145" s="11" t="s">
        <v>65</v>
      </c>
      <c r="F145" s="73">
        <v>174743</v>
      </c>
      <c r="G145" s="73">
        <v>169942</v>
      </c>
      <c r="H145" s="74">
        <v>97.252539999999996</v>
      </c>
      <c r="I145" s="73">
        <v>188930</v>
      </c>
      <c r="J145" s="73">
        <v>181747</v>
      </c>
      <c r="K145" s="74">
        <v>96.198061999999993</v>
      </c>
      <c r="L145" s="78"/>
    </row>
    <row r="146" spans="1:12" ht="25" customHeight="1" x14ac:dyDescent="0.2">
      <c r="A146" s="11" t="s">
        <v>533</v>
      </c>
      <c r="B146" s="11" t="s">
        <v>534</v>
      </c>
      <c r="C146" s="11" t="s">
        <v>535</v>
      </c>
      <c r="D146" s="11" t="s">
        <v>77</v>
      </c>
      <c r="E146" s="11" t="s">
        <v>49</v>
      </c>
      <c r="F146" s="73">
        <v>70499</v>
      </c>
      <c r="G146" s="73">
        <v>69717</v>
      </c>
      <c r="H146" s="74">
        <v>98.89076</v>
      </c>
      <c r="I146" s="73">
        <v>74131</v>
      </c>
      <c r="J146" s="73">
        <v>72991</v>
      </c>
      <c r="K146" s="74">
        <v>98.462181000000001</v>
      </c>
      <c r="L146" s="78"/>
    </row>
    <row r="147" spans="1:12" ht="25" customHeight="1" x14ac:dyDescent="0.2">
      <c r="A147" s="11" t="s">
        <v>536</v>
      </c>
      <c r="B147" s="11" t="s">
        <v>537</v>
      </c>
      <c r="C147" s="11" t="s">
        <v>538</v>
      </c>
      <c r="D147" s="11" t="s">
        <v>73</v>
      </c>
      <c r="E147" s="11" t="s">
        <v>61</v>
      </c>
      <c r="F147" s="73">
        <v>384156</v>
      </c>
      <c r="G147" s="73">
        <v>372174</v>
      </c>
      <c r="H147" s="74">
        <v>96.880949999999999</v>
      </c>
      <c r="I147" s="73">
        <v>402734</v>
      </c>
      <c r="J147" s="73">
        <v>389409</v>
      </c>
      <c r="K147" s="74">
        <v>96.691363999999993</v>
      </c>
      <c r="L147" s="78"/>
    </row>
    <row r="148" spans="1:12" ht="25" customHeight="1" x14ac:dyDescent="0.2">
      <c r="A148" s="11" t="s">
        <v>539</v>
      </c>
      <c r="B148" s="11" t="s">
        <v>540</v>
      </c>
      <c r="C148" s="11" t="s">
        <v>541</v>
      </c>
      <c r="D148" s="11" t="s">
        <v>75</v>
      </c>
      <c r="E148" s="11" t="s">
        <v>53</v>
      </c>
      <c r="F148" s="73">
        <v>108496</v>
      </c>
      <c r="G148" s="73">
        <v>103461</v>
      </c>
      <c r="H148" s="74">
        <v>95.359279999999998</v>
      </c>
      <c r="I148" s="73">
        <v>115220</v>
      </c>
      <c r="J148" s="73">
        <v>109901</v>
      </c>
      <c r="K148" s="74">
        <v>95.383612999999997</v>
      </c>
      <c r="L148" s="78"/>
    </row>
    <row r="149" spans="1:12" ht="25" customHeight="1" x14ac:dyDescent="0.2">
      <c r="A149" s="11" t="s">
        <v>542</v>
      </c>
      <c r="B149" s="11" t="s">
        <v>543</v>
      </c>
      <c r="C149" s="11" t="s">
        <v>544</v>
      </c>
      <c r="D149" s="11" t="s">
        <v>77</v>
      </c>
      <c r="E149" s="11" t="s">
        <v>59</v>
      </c>
      <c r="F149" s="73">
        <v>27541</v>
      </c>
      <c r="G149" s="73">
        <v>27078</v>
      </c>
      <c r="H149" s="74">
        <v>98.318870000000004</v>
      </c>
      <c r="I149" s="73">
        <v>29335</v>
      </c>
      <c r="J149" s="73">
        <v>28877</v>
      </c>
      <c r="K149" s="74">
        <v>98.438725000000005</v>
      </c>
      <c r="L149" s="78"/>
    </row>
    <row r="150" spans="1:12" ht="25" customHeight="1" x14ac:dyDescent="0.2">
      <c r="A150" s="11" t="s">
        <v>545</v>
      </c>
      <c r="B150" s="11" t="s">
        <v>546</v>
      </c>
      <c r="C150" s="11" t="s">
        <v>547</v>
      </c>
      <c r="D150" s="11" t="s">
        <v>69</v>
      </c>
      <c r="E150" s="11" t="s">
        <v>65</v>
      </c>
      <c r="F150" s="73">
        <v>58846</v>
      </c>
      <c r="G150" s="73">
        <v>57043</v>
      </c>
      <c r="H150" s="74">
        <v>96.936070000000001</v>
      </c>
      <c r="I150" s="73">
        <v>65017</v>
      </c>
      <c r="J150" s="73">
        <v>62673</v>
      </c>
      <c r="K150" s="74">
        <v>96.394789000000003</v>
      </c>
      <c r="L150" s="78"/>
    </row>
    <row r="151" spans="1:12" ht="25" customHeight="1" x14ac:dyDescent="0.2">
      <c r="A151" s="11" t="s">
        <v>548</v>
      </c>
      <c r="B151" s="11" t="s">
        <v>549</v>
      </c>
      <c r="C151" s="11" t="s">
        <v>550</v>
      </c>
      <c r="D151" s="11" t="s">
        <v>77</v>
      </c>
      <c r="E151" s="11" t="s">
        <v>63</v>
      </c>
      <c r="F151" s="73">
        <v>40633</v>
      </c>
      <c r="G151" s="73">
        <v>40110</v>
      </c>
      <c r="H151" s="74">
        <v>98.712869999999995</v>
      </c>
      <c r="I151" s="73">
        <v>44463</v>
      </c>
      <c r="J151" s="73">
        <v>43726</v>
      </c>
      <c r="K151" s="74">
        <v>98.342442000000005</v>
      </c>
      <c r="L151" s="78"/>
    </row>
    <row r="152" spans="1:12" ht="25" customHeight="1" x14ac:dyDescent="0.2">
      <c r="A152" s="11" t="s">
        <v>551</v>
      </c>
      <c r="B152" s="11" t="s">
        <v>552</v>
      </c>
      <c r="C152" s="11" t="s">
        <v>553</v>
      </c>
      <c r="D152" s="11" t="s">
        <v>77</v>
      </c>
      <c r="E152" s="11" t="s">
        <v>53</v>
      </c>
      <c r="F152" s="73">
        <v>40587</v>
      </c>
      <c r="G152" s="73">
        <v>39865</v>
      </c>
      <c r="H152" s="74">
        <v>98.221109999999996</v>
      </c>
      <c r="I152" s="73">
        <v>43367</v>
      </c>
      <c r="J152" s="73">
        <v>43012</v>
      </c>
      <c r="K152" s="74">
        <v>99.181404999999998</v>
      </c>
      <c r="L152" s="78"/>
    </row>
    <row r="153" spans="1:12" ht="25" customHeight="1" x14ac:dyDescent="0.2">
      <c r="A153" s="11" t="s">
        <v>554</v>
      </c>
      <c r="B153" s="11" t="s">
        <v>555</v>
      </c>
      <c r="C153" s="11" t="s">
        <v>556</v>
      </c>
      <c r="D153" s="11" t="s">
        <v>73</v>
      </c>
      <c r="E153" s="11" t="s">
        <v>49</v>
      </c>
      <c r="F153" s="73">
        <v>198849</v>
      </c>
      <c r="G153" s="73">
        <v>193575</v>
      </c>
      <c r="H153" s="74">
        <v>97.347740000000002</v>
      </c>
      <c r="I153" s="73">
        <v>218571</v>
      </c>
      <c r="J153" s="73">
        <v>212314</v>
      </c>
      <c r="K153" s="74">
        <v>97.137314000000003</v>
      </c>
      <c r="L153" s="78"/>
    </row>
    <row r="154" spans="1:12" ht="25" customHeight="1" x14ac:dyDescent="0.2">
      <c r="A154" s="11" t="s">
        <v>557</v>
      </c>
      <c r="B154" s="11" t="s">
        <v>558</v>
      </c>
      <c r="C154" s="11" t="s">
        <v>559</v>
      </c>
      <c r="D154" s="11" t="s">
        <v>75</v>
      </c>
      <c r="E154" s="11" t="s">
        <v>55</v>
      </c>
      <c r="F154" s="73">
        <v>72612</v>
      </c>
      <c r="G154" s="73">
        <v>70012</v>
      </c>
      <c r="H154" s="74">
        <v>96.419319999999999</v>
      </c>
      <c r="I154" s="73">
        <v>76600</v>
      </c>
      <c r="J154" s="73">
        <v>74231</v>
      </c>
      <c r="K154" s="74">
        <v>96.907309999999995</v>
      </c>
      <c r="L154" s="78"/>
    </row>
    <row r="155" spans="1:12" ht="25" customHeight="1" x14ac:dyDescent="0.2">
      <c r="A155" s="11" t="s">
        <v>560</v>
      </c>
      <c r="B155" s="11" t="s">
        <v>561</v>
      </c>
      <c r="C155" s="11" t="s">
        <v>562</v>
      </c>
      <c r="D155" s="11" t="s">
        <v>77</v>
      </c>
      <c r="E155" s="11" t="s">
        <v>59</v>
      </c>
      <c r="F155" s="73">
        <v>63315</v>
      </c>
      <c r="G155" s="73">
        <v>61830</v>
      </c>
      <c r="H155" s="74">
        <v>97.654579999999996</v>
      </c>
      <c r="I155" s="73">
        <v>69914</v>
      </c>
      <c r="J155" s="73">
        <v>67003</v>
      </c>
      <c r="K155" s="74">
        <v>95.836313000000004</v>
      </c>
      <c r="L155" s="78"/>
    </row>
    <row r="156" spans="1:12" ht="25" customHeight="1" x14ac:dyDescent="0.2">
      <c r="A156" s="11" t="s">
        <v>563</v>
      </c>
      <c r="B156" s="11" t="s">
        <v>564</v>
      </c>
      <c r="C156" s="11" t="s">
        <v>565</v>
      </c>
      <c r="D156" s="11" t="s">
        <v>77</v>
      </c>
      <c r="E156" s="11" t="s">
        <v>55</v>
      </c>
      <c r="F156" s="73">
        <v>16012</v>
      </c>
      <c r="G156" s="73">
        <v>15737</v>
      </c>
      <c r="H156" s="74">
        <v>98.282539999999997</v>
      </c>
      <c r="I156" s="73">
        <v>17781</v>
      </c>
      <c r="J156" s="73">
        <v>17246</v>
      </c>
      <c r="K156" s="74">
        <v>96.991169999999997</v>
      </c>
      <c r="L156" s="78"/>
    </row>
    <row r="157" spans="1:12" ht="25" customHeight="1" x14ac:dyDescent="0.2">
      <c r="A157" s="11" t="s">
        <v>566</v>
      </c>
      <c r="B157" s="11" t="s">
        <v>567</v>
      </c>
      <c r="C157" s="11" t="s">
        <v>568</v>
      </c>
      <c r="D157" s="11" t="s">
        <v>77</v>
      </c>
      <c r="E157" s="11" t="s">
        <v>63</v>
      </c>
      <c r="F157" s="73">
        <v>15798</v>
      </c>
      <c r="G157" s="73">
        <v>15418</v>
      </c>
      <c r="H157" s="74">
        <v>97.594629999999995</v>
      </c>
      <c r="I157" s="73">
        <v>18588</v>
      </c>
      <c r="J157" s="73">
        <v>18024</v>
      </c>
      <c r="K157" s="74">
        <v>96.965783999999999</v>
      </c>
      <c r="L157" s="78"/>
    </row>
    <row r="158" spans="1:12" ht="25" customHeight="1" x14ac:dyDescent="0.2">
      <c r="A158" s="11" t="s">
        <v>569</v>
      </c>
      <c r="B158" s="11" t="s">
        <v>570</v>
      </c>
      <c r="C158" s="11" t="s">
        <v>571</v>
      </c>
      <c r="D158" s="11" t="s">
        <v>73</v>
      </c>
      <c r="E158" s="11" t="s">
        <v>49</v>
      </c>
      <c r="F158" s="73">
        <v>387021</v>
      </c>
      <c r="G158" s="73">
        <v>368537</v>
      </c>
      <c r="H158" s="74">
        <v>95.224029999999999</v>
      </c>
      <c r="I158" s="73">
        <v>408691</v>
      </c>
      <c r="J158" s="73">
        <v>395685</v>
      </c>
      <c r="K158" s="74">
        <v>96.817644000000001</v>
      </c>
      <c r="L158" s="78"/>
    </row>
    <row r="159" spans="1:12" ht="25" customHeight="1" x14ac:dyDescent="0.2">
      <c r="A159" s="11" t="s">
        <v>572</v>
      </c>
      <c r="B159" s="11" t="s">
        <v>573</v>
      </c>
      <c r="C159" s="11" t="s">
        <v>574</v>
      </c>
      <c r="D159" s="11" t="s">
        <v>77</v>
      </c>
      <c r="E159" s="11" t="s">
        <v>53</v>
      </c>
      <c r="F159" s="73">
        <v>29008</v>
      </c>
      <c r="G159" s="73">
        <v>28366</v>
      </c>
      <c r="H159" s="74">
        <v>97.786820000000006</v>
      </c>
      <c r="I159" s="73">
        <v>31014</v>
      </c>
      <c r="J159" s="73">
        <v>30706</v>
      </c>
      <c r="K159" s="74">
        <v>99.006900000000002</v>
      </c>
      <c r="L159" s="78"/>
    </row>
    <row r="160" spans="1:12" ht="25" customHeight="1" x14ac:dyDescent="0.2">
      <c r="A160" s="11" t="s">
        <v>575</v>
      </c>
      <c r="B160" s="11" t="s">
        <v>576</v>
      </c>
      <c r="C160" s="11" t="s">
        <v>577</v>
      </c>
      <c r="D160" s="11" t="s">
        <v>75</v>
      </c>
      <c r="E160" s="11" t="s">
        <v>59</v>
      </c>
      <c r="F160" s="73">
        <v>102502</v>
      </c>
      <c r="G160" s="73">
        <v>98930</v>
      </c>
      <c r="H160" s="74">
        <v>96.515190000000004</v>
      </c>
      <c r="I160" s="73">
        <v>109291</v>
      </c>
      <c r="J160" s="73">
        <v>106093</v>
      </c>
      <c r="K160" s="74">
        <v>97.073867000000007</v>
      </c>
      <c r="L160" s="78"/>
    </row>
    <row r="161" spans="1:12" ht="25" customHeight="1" x14ac:dyDescent="0.2">
      <c r="A161" s="11" t="s">
        <v>578</v>
      </c>
      <c r="B161" s="11" t="s">
        <v>579</v>
      </c>
      <c r="C161" s="11" t="s">
        <v>580</v>
      </c>
      <c r="D161" s="11" t="s">
        <v>77</v>
      </c>
      <c r="E161" s="11" t="s">
        <v>53</v>
      </c>
      <c r="F161" s="73">
        <v>15146</v>
      </c>
      <c r="G161" s="73">
        <v>15061</v>
      </c>
      <c r="H161" s="74">
        <v>99.438800000000001</v>
      </c>
      <c r="I161" s="73">
        <v>16305</v>
      </c>
      <c r="J161" s="73">
        <v>15805</v>
      </c>
      <c r="K161" s="74">
        <v>96.933454999999995</v>
      </c>
      <c r="L161" s="78"/>
    </row>
    <row r="162" spans="1:12" ht="25" customHeight="1" x14ac:dyDescent="0.2">
      <c r="A162" s="11" t="s">
        <v>581</v>
      </c>
      <c r="B162" s="11" t="s">
        <v>582</v>
      </c>
      <c r="C162" s="11" t="s">
        <v>583</v>
      </c>
      <c r="D162" s="11" t="s">
        <v>71</v>
      </c>
      <c r="E162" s="11" t="s">
        <v>65</v>
      </c>
      <c r="F162" s="73">
        <v>100619</v>
      </c>
      <c r="G162" s="73">
        <v>98486</v>
      </c>
      <c r="H162" s="74">
        <v>97.880120000000005</v>
      </c>
      <c r="I162" s="73">
        <v>106207</v>
      </c>
      <c r="J162" s="73">
        <v>103229</v>
      </c>
      <c r="K162" s="74">
        <v>97.196040999999994</v>
      </c>
      <c r="L162" s="78"/>
    </row>
    <row r="163" spans="1:12" ht="25" customHeight="1" x14ac:dyDescent="0.2">
      <c r="A163" s="11" t="s">
        <v>584</v>
      </c>
      <c r="B163" s="11" t="s">
        <v>585</v>
      </c>
      <c r="C163" s="11" t="s">
        <v>586</v>
      </c>
      <c r="D163" s="11" t="s">
        <v>77</v>
      </c>
      <c r="E163" s="11" t="s">
        <v>57</v>
      </c>
      <c r="F163" s="73">
        <v>18015</v>
      </c>
      <c r="G163" s="73">
        <v>17985</v>
      </c>
      <c r="H163" s="74">
        <v>99.833470000000005</v>
      </c>
      <c r="I163" s="73">
        <v>19976</v>
      </c>
      <c r="J163" s="73">
        <v>19940</v>
      </c>
      <c r="K163" s="74">
        <v>99.819783000000001</v>
      </c>
      <c r="L163" s="78"/>
    </row>
    <row r="164" spans="1:12" ht="25" customHeight="1" x14ac:dyDescent="0.2">
      <c r="A164" s="11" t="s">
        <v>587</v>
      </c>
      <c r="B164" s="11" t="s">
        <v>588</v>
      </c>
      <c r="C164" s="11" t="s">
        <v>589</v>
      </c>
      <c r="D164" s="11" t="s">
        <v>77</v>
      </c>
      <c r="E164" s="11" t="s">
        <v>55</v>
      </c>
      <c r="F164" s="73">
        <v>34606</v>
      </c>
      <c r="G164" s="73">
        <v>33867</v>
      </c>
      <c r="H164" s="74">
        <v>97.864530000000002</v>
      </c>
      <c r="I164" s="73">
        <v>37966</v>
      </c>
      <c r="J164" s="73">
        <v>37221</v>
      </c>
      <c r="K164" s="74">
        <v>98.037717000000001</v>
      </c>
      <c r="L164" s="78"/>
    </row>
    <row r="165" spans="1:12" ht="25" customHeight="1" x14ac:dyDescent="0.2">
      <c r="A165" s="11" t="s">
        <v>590</v>
      </c>
      <c r="B165" s="11" t="s">
        <v>591</v>
      </c>
      <c r="C165" s="11" t="s">
        <v>592</v>
      </c>
      <c r="D165" s="11" t="s">
        <v>77</v>
      </c>
      <c r="E165" s="11" t="s">
        <v>59</v>
      </c>
      <c r="F165" s="73">
        <v>56304</v>
      </c>
      <c r="G165" s="73">
        <v>54657</v>
      </c>
      <c r="H165" s="74">
        <v>97.074809999999999</v>
      </c>
      <c r="I165" s="73">
        <v>62013</v>
      </c>
      <c r="J165" s="73">
        <v>59861</v>
      </c>
      <c r="K165" s="74">
        <v>96.529758999999999</v>
      </c>
      <c r="L165" s="78"/>
    </row>
    <row r="166" spans="1:12" ht="25" customHeight="1" x14ac:dyDescent="0.2">
      <c r="A166" s="11" t="s">
        <v>593</v>
      </c>
      <c r="B166" s="11" t="s">
        <v>594</v>
      </c>
      <c r="C166" s="11" t="s">
        <v>595</v>
      </c>
      <c r="D166" s="11" t="s">
        <v>75</v>
      </c>
      <c r="E166" s="11" t="s">
        <v>51</v>
      </c>
      <c r="F166" s="73">
        <v>35805</v>
      </c>
      <c r="G166" s="73">
        <v>34835</v>
      </c>
      <c r="H166" s="74">
        <v>97.290880000000001</v>
      </c>
      <c r="I166" s="73">
        <v>38781</v>
      </c>
      <c r="J166" s="73">
        <v>37040</v>
      </c>
      <c r="K166" s="74">
        <v>95.510688000000002</v>
      </c>
      <c r="L166" s="78"/>
    </row>
    <row r="167" spans="1:12" ht="25" customHeight="1" x14ac:dyDescent="0.2">
      <c r="A167" s="11" t="s">
        <v>596</v>
      </c>
      <c r="B167" s="11" t="s">
        <v>597</v>
      </c>
      <c r="C167" s="11" t="s">
        <v>598</v>
      </c>
      <c r="D167" s="11" t="s">
        <v>75</v>
      </c>
      <c r="E167" s="11" t="s">
        <v>59</v>
      </c>
      <c r="F167" s="73">
        <v>219216</v>
      </c>
      <c r="G167" s="73">
        <v>215853</v>
      </c>
      <c r="H167" s="74">
        <v>98.465900000000005</v>
      </c>
      <c r="I167" s="73">
        <v>225924</v>
      </c>
      <c r="J167" s="73">
        <v>220599</v>
      </c>
      <c r="K167" s="74">
        <v>97.643011999999999</v>
      </c>
      <c r="L167" s="78"/>
    </row>
    <row r="168" spans="1:12" ht="25" customHeight="1" x14ac:dyDescent="0.2">
      <c r="A168" s="11" t="s">
        <v>599</v>
      </c>
      <c r="B168" s="11" t="s">
        <v>600</v>
      </c>
      <c r="C168" s="11" t="s">
        <v>601</v>
      </c>
      <c r="D168" s="11" t="s">
        <v>77</v>
      </c>
      <c r="E168" s="11" t="s">
        <v>59</v>
      </c>
      <c r="F168" s="73">
        <v>40793</v>
      </c>
      <c r="G168" s="73">
        <v>39844</v>
      </c>
      <c r="H168" s="74">
        <v>97.67362</v>
      </c>
      <c r="I168" s="73">
        <v>43216</v>
      </c>
      <c r="J168" s="73">
        <v>40969</v>
      </c>
      <c r="K168" s="74">
        <v>94.800535999999994</v>
      </c>
      <c r="L168" s="78"/>
    </row>
    <row r="169" spans="1:12" ht="25" customHeight="1" x14ac:dyDescent="0.2">
      <c r="A169" s="11" t="s">
        <v>602</v>
      </c>
      <c r="B169" s="11" t="s">
        <v>603</v>
      </c>
      <c r="C169" s="11" t="s">
        <v>604</v>
      </c>
      <c r="D169" s="11" t="s">
        <v>77</v>
      </c>
      <c r="E169" s="11" t="s">
        <v>59</v>
      </c>
      <c r="F169" s="73">
        <v>77436</v>
      </c>
      <c r="G169" s="73">
        <v>76370</v>
      </c>
      <c r="H169" s="74">
        <v>98.623379999999997</v>
      </c>
      <c r="I169" s="73">
        <v>82075</v>
      </c>
      <c r="J169" s="73">
        <v>80461</v>
      </c>
      <c r="K169" s="74">
        <v>98.033505000000005</v>
      </c>
      <c r="L169" s="78"/>
    </row>
    <row r="170" spans="1:12" ht="25" customHeight="1" x14ac:dyDescent="0.2">
      <c r="A170" s="11" t="s">
        <v>605</v>
      </c>
      <c r="B170" s="11" t="s">
        <v>606</v>
      </c>
      <c r="C170" s="11" t="s">
        <v>607</v>
      </c>
      <c r="D170" s="11" t="s">
        <v>77</v>
      </c>
      <c r="E170" s="11" t="s">
        <v>53</v>
      </c>
      <c r="F170" s="73">
        <v>46379</v>
      </c>
      <c r="G170" s="73">
        <v>45575</v>
      </c>
      <c r="H170" s="74">
        <v>98.266459999999995</v>
      </c>
      <c r="I170" s="73">
        <v>49192</v>
      </c>
      <c r="J170" s="73">
        <v>47986</v>
      </c>
      <c r="K170" s="74">
        <v>97.548381000000006</v>
      </c>
      <c r="L170" s="78"/>
    </row>
    <row r="171" spans="1:12" ht="25" customHeight="1" x14ac:dyDescent="0.2">
      <c r="A171" s="11" t="s">
        <v>608</v>
      </c>
      <c r="B171" s="11" t="s">
        <v>609</v>
      </c>
      <c r="C171" s="11" t="s">
        <v>610</v>
      </c>
      <c r="D171" s="11" t="s">
        <v>73</v>
      </c>
      <c r="E171" s="11" t="s">
        <v>51</v>
      </c>
      <c r="F171" s="73">
        <v>118430</v>
      </c>
      <c r="G171" s="73">
        <v>116593</v>
      </c>
      <c r="H171" s="74">
        <v>98.448869999999999</v>
      </c>
      <c r="I171" s="73">
        <v>126787</v>
      </c>
      <c r="J171" s="73">
        <v>123787</v>
      </c>
      <c r="K171" s="74">
        <v>97.633825999999999</v>
      </c>
      <c r="L171" s="78"/>
    </row>
    <row r="172" spans="1:12" ht="25" customHeight="1" x14ac:dyDescent="0.2">
      <c r="A172" s="11" t="s">
        <v>611</v>
      </c>
      <c r="B172" s="11" t="s">
        <v>612</v>
      </c>
      <c r="C172" s="11" t="s">
        <v>613</v>
      </c>
      <c r="D172" s="11" t="s">
        <v>77</v>
      </c>
      <c r="E172" s="11" t="s">
        <v>63</v>
      </c>
      <c r="F172" s="73">
        <v>39057</v>
      </c>
      <c r="G172" s="73">
        <v>38077</v>
      </c>
      <c r="H172" s="74">
        <v>97.490849999999995</v>
      </c>
      <c r="I172" s="73">
        <v>41460</v>
      </c>
      <c r="J172" s="73">
        <v>40890</v>
      </c>
      <c r="K172" s="74">
        <v>98.62518</v>
      </c>
      <c r="L172" s="78"/>
    </row>
    <row r="173" spans="1:12" ht="25" customHeight="1" x14ac:dyDescent="0.2">
      <c r="A173" s="11" t="s">
        <v>614</v>
      </c>
      <c r="B173" s="11" t="s">
        <v>615</v>
      </c>
      <c r="C173" s="11" t="s">
        <v>616</v>
      </c>
      <c r="D173" s="11" t="s">
        <v>71</v>
      </c>
      <c r="E173" s="11" t="s">
        <v>65</v>
      </c>
      <c r="F173" s="73">
        <v>169134</v>
      </c>
      <c r="G173" s="73">
        <v>167121</v>
      </c>
      <c r="H173" s="74">
        <v>98.809820000000002</v>
      </c>
      <c r="I173" s="73">
        <v>188407</v>
      </c>
      <c r="J173" s="73">
        <v>185448</v>
      </c>
      <c r="K173" s="74">
        <v>98.429462999999998</v>
      </c>
      <c r="L173" s="78"/>
    </row>
    <row r="174" spans="1:12" ht="25" customHeight="1" x14ac:dyDescent="0.2">
      <c r="A174" s="11" t="s">
        <v>617</v>
      </c>
      <c r="B174" s="11" t="s">
        <v>618</v>
      </c>
      <c r="C174" s="11" t="s">
        <v>619</v>
      </c>
      <c r="D174" s="11" t="s">
        <v>77</v>
      </c>
      <c r="E174" s="11" t="s">
        <v>57</v>
      </c>
      <c r="F174" s="73">
        <v>29955</v>
      </c>
      <c r="G174" s="73">
        <v>29119</v>
      </c>
      <c r="H174" s="74">
        <v>97.209149999999994</v>
      </c>
      <c r="I174" s="73">
        <v>33565</v>
      </c>
      <c r="J174" s="73">
        <v>32524</v>
      </c>
      <c r="K174" s="74">
        <v>96.898555000000002</v>
      </c>
      <c r="L174" s="78"/>
    </row>
    <row r="175" spans="1:12" ht="25" customHeight="1" x14ac:dyDescent="0.2">
      <c r="A175" s="11" t="s">
        <v>620</v>
      </c>
      <c r="B175" s="11" t="s">
        <v>621</v>
      </c>
      <c r="C175" s="11" t="s">
        <v>622</v>
      </c>
      <c r="D175" s="11" t="s">
        <v>77</v>
      </c>
      <c r="E175" s="11" t="s">
        <v>53</v>
      </c>
      <c r="F175" s="73">
        <v>18997</v>
      </c>
      <c r="G175" s="73">
        <v>18158</v>
      </c>
      <c r="H175" s="74">
        <v>95.583510000000004</v>
      </c>
      <c r="I175" s="73">
        <v>20575</v>
      </c>
      <c r="J175" s="73">
        <v>19694</v>
      </c>
      <c r="K175" s="74">
        <v>95.718103999999997</v>
      </c>
      <c r="L175" s="78"/>
    </row>
    <row r="176" spans="1:12" ht="25" customHeight="1" x14ac:dyDescent="0.2">
      <c r="A176" s="11" t="s">
        <v>623</v>
      </c>
      <c r="B176" s="11" t="s">
        <v>624</v>
      </c>
      <c r="C176" s="11" t="s">
        <v>625</v>
      </c>
      <c r="D176" s="11" t="s">
        <v>75</v>
      </c>
      <c r="E176" s="11" t="s">
        <v>61</v>
      </c>
      <c r="F176" s="73">
        <v>61711</v>
      </c>
      <c r="G176" s="73">
        <v>58828</v>
      </c>
      <c r="H176" s="74">
        <v>95.328220000000002</v>
      </c>
      <c r="I176" s="73">
        <v>64873</v>
      </c>
      <c r="J176" s="73">
        <v>61812</v>
      </c>
      <c r="K176" s="74">
        <v>95.281549999999996</v>
      </c>
      <c r="L176" s="78"/>
    </row>
    <row r="177" spans="1:12" ht="25" customHeight="1" x14ac:dyDescent="0.2">
      <c r="A177" s="11" t="s">
        <v>626</v>
      </c>
      <c r="B177" s="11" t="s">
        <v>627</v>
      </c>
      <c r="C177" s="11" t="s">
        <v>628</v>
      </c>
      <c r="D177" s="11" t="s">
        <v>77</v>
      </c>
      <c r="E177" s="11" t="s">
        <v>55</v>
      </c>
      <c r="F177" s="73">
        <v>41711</v>
      </c>
      <c r="G177" s="73">
        <v>39806</v>
      </c>
      <c r="H177" s="74">
        <v>95.432860000000005</v>
      </c>
      <c r="I177" s="73">
        <v>45853</v>
      </c>
      <c r="J177" s="73">
        <v>43441</v>
      </c>
      <c r="K177" s="74">
        <v>94.739711</v>
      </c>
      <c r="L177" s="78"/>
    </row>
    <row r="178" spans="1:12" ht="25" customHeight="1" x14ac:dyDescent="0.2">
      <c r="A178" s="11" t="s">
        <v>629</v>
      </c>
      <c r="B178" s="11" t="s">
        <v>630</v>
      </c>
      <c r="C178" s="11" t="s">
        <v>631</v>
      </c>
      <c r="D178" s="11" t="s">
        <v>77</v>
      </c>
      <c r="E178" s="11" t="s">
        <v>53</v>
      </c>
      <c r="F178" s="73">
        <v>34386</v>
      </c>
      <c r="G178" s="73">
        <v>33956</v>
      </c>
      <c r="H178" s="74">
        <v>98.749489999999994</v>
      </c>
      <c r="I178" s="73">
        <v>35980</v>
      </c>
      <c r="J178" s="73">
        <v>35679</v>
      </c>
      <c r="K178" s="74">
        <v>99.163424000000006</v>
      </c>
      <c r="L178" s="78"/>
    </row>
    <row r="179" spans="1:12" ht="25" customHeight="1" x14ac:dyDescent="0.2">
      <c r="A179" s="11" t="s">
        <v>632</v>
      </c>
      <c r="B179" s="11" t="s">
        <v>633</v>
      </c>
      <c r="C179" s="11" t="s">
        <v>634</v>
      </c>
      <c r="D179" s="11" t="s">
        <v>75</v>
      </c>
      <c r="E179" s="11" t="s">
        <v>61</v>
      </c>
      <c r="F179" s="73">
        <v>100430</v>
      </c>
      <c r="G179" s="73">
        <v>97795</v>
      </c>
      <c r="H179" s="74">
        <v>97.376279999999994</v>
      </c>
      <c r="I179" s="73">
        <v>106875</v>
      </c>
      <c r="J179" s="73">
        <v>104345</v>
      </c>
      <c r="K179" s="74">
        <v>97.632748000000007</v>
      </c>
      <c r="L179" s="78"/>
    </row>
    <row r="180" spans="1:12" ht="25" customHeight="1" x14ac:dyDescent="0.2">
      <c r="A180" s="11" t="s">
        <v>635</v>
      </c>
      <c r="B180" s="11" t="s">
        <v>636</v>
      </c>
      <c r="C180" s="11" t="s">
        <v>637</v>
      </c>
      <c r="D180" s="11" t="s">
        <v>77</v>
      </c>
      <c r="E180" s="11" t="s">
        <v>55</v>
      </c>
      <c r="F180" s="73">
        <v>26032</v>
      </c>
      <c r="G180" s="73">
        <v>25888</v>
      </c>
      <c r="H180" s="74">
        <v>99.446830000000006</v>
      </c>
      <c r="I180" s="73">
        <v>30776</v>
      </c>
      <c r="J180" s="73">
        <v>30505</v>
      </c>
      <c r="K180" s="74">
        <v>99.119443000000004</v>
      </c>
      <c r="L180" s="78"/>
    </row>
    <row r="181" spans="1:12" ht="25" customHeight="1" x14ac:dyDescent="0.2">
      <c r="A181" s="11" t="s">
        <v>638</v>
      </c>
      <c r="B181" s="11" t="s">
        <v>639</v>
      </c>
      <c r="C181" s="11" t="s">
        <v>640</v>
      </c>
      <c r="D181" s="11" t="s">
        <v>75</v>
      </c>
      <c r="E181" s="11" t="s">
        <v>53</v>
      </c>
      <c r="F181" s="73">
        <v>185283</v>
      </c>
      <c r="G181" s="73">
        <v>175420</v>
      </c>
      <c r="H181" s="74">
        <v>94.676789999999997</v>
      </c>
      <c r="I181" s="73">
        <v>190644</v>
      </c>
      <c r="J181" s="73">
        <v>185816</v>
      </c>
      <c r="K181" s="74">
        <v>97.467530999999994</v>
      </c>
      <c r="L181" s="78"/>
    </row>
    <row r="182" spans="1:12" ht="25" customHeight="1" x14ac:dyDescent="0.2">
      <c r="A182" s="11" t="s">
        <v>641</v>
      </c>
      <c r="B182" s="11" t="s">
        <v>642</v>
      </c>
      <c r="C182" s="11" t="s">
        <v>643</v>
      </c>
      <c r="D182" s="11" t="s">
        <v>75</v>
      </c>
      <c r="E182" s="11" t="s">
        <v>57</v>
      </c>
      <c r="F182" s="73">
        <v>67909</v>
      </c>
      <c r="G182" s="73">
        <v>66370</v>
      </c>
      <c r="H182" s="74">
        <v>97.733729999999994</v>
      </c>
      <c r="I182" s="73">
        <v>73192</v>
      </c>
      <c r="J182" s="73">
        <v>70931</v>
      </c>
      <c r="K182" s="74">
        <v>96.910864000000004</v>
      </c>
      <c r="L182" s="78"/>
    </row>
    <row r="183" spans="1:12" ht="25" customHeight="1" x14ac:dyDescent="0.2">
      <c r="A183" s="11" t="s">
        <v>644</v>
      </c>
      <c r="B183" s="11" t="s">
        <v>645</v>
      </c>
      <c r="C183" s="11" t="s">
        <v>646</v>
      </c>
      <c r="D183" s="11" t="s">
        <v>73</v>
      </c>
      <c r="E183" s="11" t="s">
        <v>51</v>
      </c>
      <c r="F183" s="73">
        <v>65646</v>
      </c>
      <c r="G183" s="73">
        <v>63627</v>
      </c>
      <c r="H183" s="74">
        <v>96.924409999999995</v>
      </c>
      <c r="I183" s="73">
        <v>68764</v>
      </c>
      <c r="J183" s="73">
        <v>66769</v>
      </c>
      <c r="K183" s="74">
        <v>97.098771999999997</v>
      </c>
      <c r="L183" s="78"/>
    </row>
    <row r="184" spans="1:12" ht="25" customHeight="1" x14ac:dyDescent="0.2">
      <c r="A184" s="11" t="s">
        <v>647</v>
      </c>
      <c r="B184" s="11" t="s">
        <v>648</v>
      </c>
      <c r="C184" s="11" t="s">
        <v>649</v>
      </c>
      <c r="D184" s="11" t="s">
        <v>77</v>
      </c>
      <c r="E184" s="11" t="s">
        <v>63</v>
      </c>
      <c r="F184" s="73">
        <v>77465</v>
      </c>
      <c r="G184" s="73">
        <v>76659</v>
      </c>
      <c r="H184" s="74">
        <v>98.959530000000001</v>
      </c>
      <c r="I184" s="73">
        <v>80684</v>
      </c>
      <c r="J184" s="73">
        <v>79891</v>
      </c>
      <c r="K184" s="74">
        <v>99.017152999999993</v>
      </c>
      <c r="L184" s="78"/>
    </row>
    <row r="185" spans="1:12" ht="25" customHeight="1" x14ac:dyDescent="0.2">
      <c r="A185" s="11" t="s">
        <v>650</v>
      </c>
      <c r="B185" s="11" t="s">
        <v>651</v>
      </c>
      <c r="C185" s="11" t="s">
        <v>652</v>
      </c>
      <c r="D185" s="11" t="s">
        <v>77</v>
      </c>
      <c r="E185" s="11" t="s">
        <v>53</v>
      </c>
      <c r="F185" s="73">
        <v>110922</v>
      </c>
      <c r="G185" s="73">
        <v>107374</v>
      </c>
      <c r="H185" s="74">
        <v>96.801360000000003</v>
      </c>
      <c r="I185" s="73">
        <v>113376</v>
      </c>
      <c r="J185" s="73">
        <v>109998</v>
      </c>
      <c r="K185" s="74">
        <v>97.020533</v>
      </c>
      <c r="L185" s="78"/>
    </row>
    <row r="186" spans="1:12" ht="25" customHeight="1" x14ac:dyDescent="0.2">
      <c r="A186" s="11" t="s">
        <v>653</v>
      </c>
      <c r="B186" s="11" t="s">
        <v>654</v>
      </c>
      <c r="C186" s="11" t="s">
        <v>655</v>
      </c>
      <c r="D186" s="11" t="s">
        <v>75</v>
      </c>
      <c r="E186" s="11" t="s">
        <v>61</v>
      </c>
      <c r="F186" s="73">
        <v>213904</v>
      </c>
      <c r="G186" s="73">
        <v>209469</v>
      </c>
      <c r="H186" s="74">
        <v>97.926640000000006</v>
      </c>
      <c r="I186" s="73">
        <v>236720</v>
      </c>
      <c r="J186" s="73">
        <v>229209</v>
      </c>
      <c r="K186" s="74">
        <v>96.827053000000006</v>
      </c>
      <c r="L186" s="78"/>
    </row>
    <row r="187" spans="1:12" ht="25" customHeight="1" x14ac:dyDescent="0.2">
      <c r="A187" s="11" t="s">
        <v>656</v>
      </c>
      <c r="B187" s="11" t="s">
        <v>657</v>
      </c>
      <c r="C187" s="11" t="s">
        <v>658</v>
      </c>
      <c r="D187" s="11" t="s">
        <v>75</v>
      </c>
      <c r="E187" s="11" t="s">
        <v>51</v>
      </c>
      <c r="F187" s="73">
        <v>90683</v>
      </c>
      <c r="G187" s="73">
        <v>87726</v>
      </c>
      <c r="H187" s="74">
        <v>96.739189999999994</v>
      </c>
      <c r="I187" s="73">
        <v>99218</v>
      </c>
      <c r="J187" s="73">
        <v>96158</v>
      </c>
      <c r="K187" s="74">
        <v>96.915881999999996</v>
      </c>
      <c r="L187" s="78"/>
    </row>
    <row r="188" spans="1:12" ht="25" customHeight="1" x14ac:dyDescent="0.2">
      <c r="A188" s="11" t="s">
        <v>659</v>
      </c>
      <c r="B188" s="11" t="s">
        <v>660</v>
      </c>
      <c r="C188" s="11" t="s">
        <v>661</v>
      </c>
      <c r="D188" s="11" t="s">
        <v>77</v>
      </c>
      <c r="E188" s="11" t="s">
        <v>55</v>
      </c>
      <c r="F188" s="73">
        <v>68018</v>
      </c>
      <c r="G188" s="73">
        <v>64818</v>
      </c>
      <c r="H188" s="74">
        <v>95.295360000000002</v>
      </c>
      <c r="I188" s="73">
        <v>75055</v>
      </c>
      <c r="J188" s="73">
        <v>71535</v>
      </c>
      <c r="K188" s="74">
        <v>95.310104999999993</v>
      </c>
      <c r="L188" s="78"/>
    </row>
    <row r="189" spans="1:12" ht="25" customHeight="1" x14ac:dyDescent="0.2">
      <c r="A189" s="11" t="s">
        <v>662</v>
      </c>
      <c r="B189" s="11" t="s">
        <v>663</v>
      </c>
      <c r="C189" s="11" t="s">
        <v>664</v>
      </c>
      <c r="D189" s="11" t="s">
        <v>75</v>
      </c>
      <c r="E189" s="11" t="s">
        <v>53</v>
      </c>
      <c r="F189" s="73">
        <v>128318</v>
      </c>
      <c r="G189" s="73">
        <v>123218</v>
      </c>
      <c r="H189" s="74">
        <v>96.025499999999994</v>
      </c>
      <c r="I189" s="73">
        <v>134233</v>
      </c>
      <c r="J189" s="73">
        <v>126749</v>
      </c>
      <c r="K189" s="74">
        <v>94.424619000000007</v>
      </c>
      <c r="L189" s="78"/>
    </row>
    <row r="190" spans="1:12" ht="25" customHeight="1" x14ac:dyDescent="0.2">
      <c r="A190" s="11" t="s">
        <v>665</v>
      </c>
      <c r="B190" s="11" t="s">
        <v>666</v>
      </c>
      <c r="C190" s="11" t="s">
        <v>667</v>
      </c>
      <c r="D190" s="11" t="s">
        <v>77</v>
      </c>
      <c r="E190" s="11" t="s">
        <v>63</v>
      </c>
      <c r="F190" s="73">
        <v>43769</v>
      </c>
      <c r="G190" s="73">
        <v>42719</v>
      </c>
      <c r="H190" s="74">
        <v>97.601039999999998</v>
      </c>
      <c r="I190" s="73">
        <v>44853</v>
      </c>
      <c r="J190" s="73">
        <v>43308</v>
      </c>
      <c r="K190" s="74">
        <v>96.555413999999999</v>
      </c>
      <c r="L190" s="78"/>
    </row>
    <row r="191" spans="1:12" ht="25" customHeight="1" x14ac:dyDescent="0.2">
      <c r="A191" s="11" t="s">
        <v>668</v>
      </c>
      <c r="B191" s="11" t="s">
        <v>669</v>
      </c>
      <c r="C191" s="11" t="s">
        <v>670</v>
      </c>
      <c r="D191" s="11" t="s">
        <v>77</v>
      </c>
      <c r="E191" s="11" t="s">
        <v>53</v>
      </c>
      <c r="F191" s="73">
        <v>12587</v>
      </c>
      <c r="G191" s="73">
        <v>12151</v>
      </c>
      <c r="H191" s="74">
        <v>96.536109999999994</v>
      </c>
      <c r="I191" s="73">
        <v>13421</v>
      </c>
      <c r="J191" s="73">
        <v>12659</v>
      </c>
      <c r="K191" s="74">
        <v>94.322329999999994</v>
      </c>
      <c r="L191" s="78"/>
    </row>
    <row r="192" spans="1:12" ht="25" customHeight="1" x14ac:dyDescent="0.2">
      <c r="A192" s="11" t="s">
        <v>671</v>
      </c>
      <c r="B192" s="11" t="s">
        <v>672</v>
      </c>
      <c r="C192" s="11" t="s">
        <v>673</v>
      </c>
      <c r="D192" s="11" t="s">
        <v>73</v>
      </c>
      <c r="E192" s="11" t="s">
        <v>49</v>
      </c>
      <c r="F192" s="73">
        <v>57306</v>
      </c>
      <c r="G192" s="73">
        <v>55287</v>
      </c>
      <c r="H192" s="74">
        <v>96.47681</v>
      </c>
      <c r="I192" s="73">
        <v>61715</v>
      </c>
      <c r="J192" s="73">
        <v>58520</v>
      </c>
      <c r="K192" s="74">
        <v>94.822975999999997</v>
      </c>
      <c r="L192" s="78"/>
    </row>
    <row r="193" spans="1:12" ht="25" customHeight="1" x14ac:dyDescent="0.2">
      <c r="A193" s="11" t="s">
        <v>674</v>
      </c>
      <c r="B193" s="11" t="s">
        <v>675</v>
      </c>
      <c r="C193" s="11" t="s">
        <v>676</v>
      </c>
      <c r="D193" s="11" t="s">
        <v>77</v>
      </c>
      <c r="E193" s="11" t="s">
        <v>59</v>
      </c>
      <c r="F193" s="73">
        <v>100767</v>
      </c>
      <c r="G193" s="73">
        <v>97958</v>
      </c>
      <c r="H193" s="74">
        <v>97.212379999999996</v>
      </c>
      <c r="I193" s="73">
        <v>108582</v>
      </c>
      <c r="J193" s="73">
        <v>106262</v>
      </c>
      <c r="K193" s="74">
        <v>97.863365000000002</v>
      </c>
      <c r="L193" s="78"/>
    </row>
    <row r="194" spans="1:12" ht="25" customHeight="1" x14ac:dyDescent="0.2">
      <c r="A194" s="11" t="s">
        <v>677</v>
      </c>
      <c r="B194" s="11" t="s">
        <v>678</v>
      </c>
      <c r="C194" s="11" t="s">
        <v>679</v>
      </c>
      <c r="D194" s="11" t="s">
        <v>77</v>
      </c>
      <c r="E194" s="11" t="s">
        <v>49</v>
      </c>
      <c r="F194" s="73">
        <v>19802</v>
      </c>
      <c r="G194" s="73">
        <v>19454</v>
      </c>
      <c r="H194" s="74">
        <v>98.242599999999996</v>
      </c>
      <c r="I194" s="73">
        <v>21957</v>
      </c>
      <c r="J194" s="73">
        <v>21270</v>
      </c>
      <c r="K194" s="74">
        <v>96.871156999999997</v>
      </c>
      <c r="L194" s="78"/>
    </row>
    <row r="195" spans="1:12" ht="25" customHeight="1" x14ac:dyDescent="0.2">
      <c r="A195" s="11" t="s">
        <v>680</v>
      </c>
      <c r="B195" s="11" t="s">
        <v>681</v>
      </c>
      <c r="C195" s="11" t="s">
        <v>682</v>
      </c>
      <c r="D195" s="11" t="s">
        <v>75</v>
      </c>
      <c r="E195" s="11" t="s">
        <v>55</v>
      </c>
      <c r="F195" s="73">
        <v>117224</v>
      </c>
      <c r="G195" s="73">
        <v>115284</v>
      </c>
      <c r="H195" s="74">
        <v>98.345050000000001</v>
      </c>
      <c r="I195" s="73">
        <v>122902</v>
      </c>
      <c r="J195" s="73">
        <v>120643</v>
      </c>
      <c r="K195" s="74">
        <v>98.161950000000004</v>
      </c>
      <c r="L195" s="78"/>
    </row>
    <row r="196" spans="1:12" ht="25" customHeight="1" x14ac:dyDescent="0.2">
      <c r="A196" s="11" t="s">
        <v>683</v>
      </c>
      <c r="B196" s="11" t="s">
        <v>684</v>
      </c>
      <c r="C196" s="11" t="s">
        <v>685</v>
      </c>
      <c r="D196" s="11" t="s">
        <v>75</v>
      </c>
      <c r="E196" s="11" t="s">
        <v>57</v>
      </c>
      <c r="F196" s="73">
        <v>89467</v>
      </c>
      <c r="G196" s="73">
        <v>88259</v>
      </c>
      <c r="H196" s="74">
        <v>98.649780000000007</v>
      </c>
      <c r="I196" s="73">
        <v>97031</v>
      </c>
      <c r="J196" s="73">
        <v>93440</v>
      </c>
      <c r="K196" s="74">
        <v>96.299120000000002</v>
      </c>
      <c r="L196" s="78"/>
    </row>
    <row r="197" spans="1:12" ht="25" customHeight="1" x14ac:dyDescent="0.2">
      <c r="A197" s="11" t="s">
        <v>686</v>
      </c>
      <c r="B197" s="11" t="s">
        <v>687</v>
      </c>
      <c r="C197" s="11" t="s">
        <v>688</v>
      </c>
      <c r="D197" s="11" t="s">
        <v>75</v>
      </c>
      <c r="E197" s="11" t="s">
        <v>59</v>
      </c>
      <c r="F197" s="73">
        <v>91352</v>
      </c>
      <c r="G197" s="73">
        <v>87610</v>
      </c>
      <c r="H197" s="74">
        <v>95.903760000000005</v>
      </c>
      <c r="I197" s="73">
        <v>97256</v>
      </c>
      <c r="J197" s="73">
        <v>91708</v>
      </c>
      <c r="K197" s="74">
        <v>94.295467000000002</v>
      </c>
      <c r="L197" s="78"/>
    </row>
    <row r="198" spans="1:12" ht="25" customHeight="1" x14ac:dyDescent="0.2">
      <c r="A198" s="11" t="s">
        <v>689</v>
      </c>
      <c r="B198" s="11" t="s">
        <v>690</v>
      </c>
      <c r="C198" s="11" t="s">
        <v>691</v>
      </c>
      <c r="D198" s="11" t="s">
        <v>77</v>
      </c>
      <c r="E198" s="11" t="s">
        <v>49</v>
      </c>
      <c r="F198" s="73">
        <v>54728</v>
      </c>
      <c r="G198" s="73">
        <v>52809</v>
      </c>
      <c r="H198" s="74">
        <v>96.493570000000005</v>
      </c>
      <c r="I198" s="73">
        <v>58409</v>
      </c>
      <c r="J198" s="73">
        <v>55984</v>
      </c>
      <c r="K198" s="74">
        <v>95.848241999999999</v>
      </c>
      <c r="L198" s="78"/>
    </row>
    <row r="199" spans="1:12" ht="25" customHeight="1" x14ac:dyDescent="0.2">
      <c r="A199" s="11" t="s">
        <v>692</v>
      </c>
      <c r="B199" s="11" t="s">
        <v>693</v>
      </c>
      <c r="C199" s="11" t="s">
        <v>694</v>
      </c>
      <c r="D199" s="11" t="s">
        <v>75</v>
      </c>
      <c r="E199" s="11" t="s">
        <v>59</v>
      </c>
      <c r="F199" s="73">
        <v>148929</v>
      </c>
      <c r="G199" s="73">
        <v>143793</v>
      </c>
      <c r="H199" s="74">
        <v>96.551379999999995</v>
      </c>
      <c r="I199" s="73">
        <v>155509</v>
      </c>
      <c r="J199" s="73">
        <v>148488</v>
      </c>
      <c r="K199" s="74">
        <v>95.485147999999995</v>
      </c>
      <c r="L199" s="78"/>
    </row>
    <row r="200" spans="1:12" ht="25" customHeight="1" x14ac:dyDescent="0.2">
      <c r="A200" s="11" t="s">
        <v>695</v>
      </c>
      <c r="B200" s="11" t="s">
        <v>696</v>
      </c>
      <c r="C200" s="11" t="s">
        <v>697</v>
      </c>
      <c r="D200" s="11" t="s">
        <v>71</v>
      </c>
      <c r="E200" s="11" t="s">
        <v>65</v>
      </c>
      <c r="F200" s="73">
        <v>56091</v>
      </c>
      <c r="G200" s="73">
        <v>52312</v>
      </c>
      <c r="H200" s="74">
        <v>93.262730000000005</v>
      </c>
      <c r="I200" s="73">
        <v>64530</v>
      </c>
      <c r="J200" s="73">
        <v>61099</v>
      </c>
      <c r="K200" s="74">
        <v>94.683093</v>
      </c>
      <c r="L200" s="78"/>
    </row>
    <row r="201" spans="1:12" ht="25" customHeight="1" x14ac:dyDescent="0.2">
      <c r="A201" s="11" t="s">
        <v>698</v>
      </c>
      <c r="B201" s="11" t="s">
        <v>699</v>
      </c>
      <c r="C201" s="11" t="s">
        <v>700</v>
      </c>
      <c r="D201" s="11" t="s">
        <v>75</v>
      </c>
      <c r="E201" s="11" t="s">
        <v>51</v>
      </c>
      <c r="F201" s="73">
        <v>44085</v>
      </c>
      <c r="G201" s="73">
        <v>43473</v>
      </c>
      <c r="H201" s="74">
        <v>98.611770000000007</v>
      </c>
      <c r="I201" s="73">
        <v>45302</v>
      </c>
      <c r="J201" s="73">
        <v>44307</v>
      </c>
      <c r="K201" s="74">
        <v>97.803628000000003</v>
      </c>
      <c r="L201" s="78"/>
    </row>
    <row r="202" spans="1:12" ht="25" customHeight="1" x14ac:dyDescent="0.2">
      <c r="A202" s="11" t="s">
        <v>701</v>
      </c>
      <c r="B202" s="11" t="s">
        <v>702</v>
      </c>
      <c r="C202" s="11" t="s">
        <v>703</v>
      </c>
      <c r="D202" s="11" t="s">
        <v>77</v>
      </c>
      <c r="E202" s="11" t="s">
        <v>63</v>
      </c>
      <c r="F202" s="73">
        <v>38041</v>
      </c>
      <c r="G202" s="73">
        <v>36415</v>
      </c>
      <c r="H202" s="74">
        <v>95.725660000000005</v>
      </c>
      <c r="I202" s="73">
        <v>40354</v>
      </c>
      <c r="J202" s="73">
        <v>37605</v>
      </c>
      <c r="K202" s="74">
        <v>93.187787999999998</v>
      </c>
      <c r="L202" s="78"/>
    </row>
    <row r="203" spans="1:12" ht="25" customHeight="1" x14ac:dyDescent="0.2">
      <c r="A203" s="11" t="s">
        <v>704</v>
      </c>
      <c r="B203" s="11" t="s">
        <v>705</v>
      </c>
      <c r="C203" s="11" t="s">
        <v>706</v>
      </c>
      <c r="D203" s="11" t="s">
        <v>77</v>
      </c>
      <c r="E203" s="11" t="s">
        <v>59</v>
      </c>
      <c r="F203" s="73">
        <v>55335</v>
      </c>
      <c r="G203" s="73">
        <v>55334</v>
      </c>
      <c r="H203" s="74">
        <v>99.998189999999994</v>
      </c>
      <c r="I203" s="73">
        <v>58682</v>
      </c>
      <c r="J203" s="73">
        <v>58680</v>
      </c>
      <c r="K203" s="74">
        <v>99.996590999999995</v>
      </c>
      <c r="L203" s="78"/>
    </row>
    <row r="204" spans="1:12" ht="25" customHeight="1" x14ac:dyDescent="0.2">
      <c r="A204" s="11" t="s">
        <v>707</v>
      </c>
      <c r="B204" s="11" t="s">
        <v>708</v>
      </c>
      <c r="C204" s="11" t="s">
        <v>709</v>
      </c>
      <c r="D204" s="11" t="s">
        <v>77</v>
      </c>
      <c r="E204" s="11" t="s">
        <v>49</v>
      </c>
      <c r="F204" s="73">
        <v>16064</v>
      </c>
      <c r="G204" s="73">
        <v>15873</v>
      </c>
      <c r="H204" s="74">
        <v>98.811009999999996</v>
      </c>
      <c r="I204" s="73">
        <v>18034</v>
      </c>
      <c r="J204" s="73">
        <v>17875</v>
      </c>
      <c r="K204" s="74">
        <v>99.118331999999995</v>
      </c>
      <c r="L204" s="78"/>
    </row>
    <row r="205" spans="1:12" ht="25" customHeight="1" x14ac:dyDescent="0.2">
      <c r="A205" s="11" t="s">
        <v>710</v>
      </c>
      <c r="B205" s="11" t="s">
        <v>711</v>
      </c>
      <c r="C205" s="11" t="s">
        <v>712</v>
      </c>
      <c r="D205" s="11" t="s">
        <v>71</v>
      </c>
      <c r="E205" s="11" t="s">
        <v>65</v>
      </c>
      <c r="F205" s="73">
        <v>83075</v>
      </c>
      <c r="G205" s="73">
        <v>81317</v>
      </c>
      <c r="H205" s="74">
        <v>97.883840000000006</v>
      </c>
      <c r="I205" s="73">
        <v>91594</v>
      </c>
      <c r="J205" s="73">
        <v>89747</v>
      </c>
      <c r="K205" s="74">
        <v>97.983491999999998</v>
      </c>
      <c r="L205" s="78"/>
    </row>
    <row r="206" spans="1:12" ht="25" customHeight="1" x14ac:dyDescent="0.2">
      <c r="A206" s="11" t="s">
        <v>713</v>
      </c>
      <c r="B206" s="11" t="s">
        <v>714</v>
      </c>
      <c r="C206" s="11" t="s">
        <v>715</v>
      </c>
      <c r="D206" s="11" t="s">
        <v>73</v>
      </c>
      <c r="E206" s="11" t="s">
        <v>49</v>
      </c>
      <c r="F206" s="73">
        <v>81616</v>
      </c>
      <c r="G206" s="73">
        <v>79246</v>
      </c>
      <c r="H206" s="74">
        <v>97.096159999999998</v>
      </c>
      <c r="I206" s="73">
        <v>84466</v>
      </c>
      <c r="J206" s="73">
        <v>81204</v>
      </c>
      <c r="K206" s="74">
        <v>96.138091000000003</v>
      </c>
      <c r="L206" s="78"/>
    </row>
    <row r="207" spans="1:12" ht="25" customHeight="1" x14ac:dyDescent="0.2">
      <c r="A207" s="11" t="s">
        <v>716</v>
      </c>
      <c r="B207" s="11" t="s">
        <v>717</v>
      </c>
      <c r="C207" s="11" t="s">
        <v>718</v>
      </c>
      <c r="D207" s="11" t="s">
        <v>77</v>
      </c>
      <c r="E207" s="11" t="s">
        <v>55</v>
      </c>
      <c r="F207" s="73">
        <v>19170</v>
      </c>
      <c r="G207" s="73">
        <v>19016</v>
      </c>
      <c r="H207" s="74">
        <v>99.196659999999994</v>
      </c>
      <c r="I207" s="73">
        <v>21640</v>
      </c>
      <c r="J207" s="73">
        <v>21274</v>
      </c>
      <c r="K207" s="74">
        <v>98.308687000000006</v>
      </c>
      <c r="L207" s="78"/>
    </row>
    <row r="208" spans="1:12" ht="25" customHeight="1" x14ac:dyDescent="0.2">
      <c r="A208" s="11" t="s">
        <v>719</v>
      </c>
      <c r="B208" s="11" t="s">
        <v>720</v>
      </c>
      <c r="C208" s="11" t="s">
        <v>721</v>
      </c>
      <c r="D208" s="11" t="s">
        <v>77</v>
      </c>
      <c r="E208" s="11" t="s">
        <v>49</v>
      </c>
      <c r="F208" s="73">
        <v>14355</v>
      </c>
      <c r="G208" s="73">
        <v>14122</v>
      </c>
      <c r="H208" s="74">
        <v>98.376869999999997</v>
      </c>
      <c r="I208" s="73">
        <v>15171</v>
      </c>
      <c r="J208" s="73">
        <v>14988</v>
      </c>
      <c r="K208" s="74">
        <v>98.793751</v>
      </c>
      <c r="L208" s="78"/>
    </row>
    <row r="209" spans="1:12" ht="25" customHeight="1" x14ac:dyDescent="0.2">
      <c r="A209" s="11" t="s">
        <v>722</v>
      </c>
      <c r="B209" s="11" t="s">
        <v>723</v>
      </c>
      <c r="C209" s="11" t="s">
        <v>724</v>
      </c>
      <c r="D209" s="11" t="s">
        <v>77</v>
      </c>
      <c r="E209" s="11" t="s">
        <v>59</v>
      </c>
      <c r="F209" s="73">
        <v>18225</v>
      </c>
      <c r="G209" s="73">
        <v>17700</v>
      </c>
      <c r="H209" s="74">
        <v>97.119339999999994</v>
      </c>
      <c r="I209" s="73">
        <v>20607</v>
      </c>
      <c r="J209" s="73">
        <v>19216</v>
      </c>
      <c r="K209" s="74">
        <v>93.249865999999997</v>
      </c>
      <c r="L209" s="78"/>
    </row>
    <row r="210" spans="1:12" ht="25" customHeight="1" x14ac:dyDescent="0.2">
      <c r="A210" s="11" t="s">
        <v>725</v>
      </c>
      <c r="B210" s="11" t="s">
        <v>726</v>
      </c>
      <c r="C210" s="11" t="s">
        <v>727</v>
      </c>
      <c r="D210" s="11" t="s">
        <v>73</v>
      </c>
      <c r="E210" s="11" t="s">
        <v>61</v>
      </c>
      <c r="F210" s="73">
        <v>83941</v>
      </c>
      <c r="G210" s="73">
        <v>78881</v>
      </c>
      <c r="H210" s="74">
        <v>93.971959999999996</v>
      </c>
      <c r="I210" s="73">
        <v>91341</v>
      </c>
      <c r="J210" s="73">
        <v>87534</v>
      </c>
      <c r="K210" s="74">
        <v>95.832100999999994</v>
      </c>
      <c r="L210" s="78"/>
    </row>
    <row r="211" spans="1:12" ht="25" customHeight="1" x14ac:dyDescent="0.2">
      <c r="A211" s="11" t="s">
        <v>728</v>
      </c>
      <c r="B211" s="11" t="s">
        <v>729</v>
      </c>
      <c r="C211" s="11" t="s">
        <v>730</v>
      </c>
      <c r="D211" s="11" t="s">
        <v>77</v>
      </c>
      <c r="E211" s="11" t="s">
        <v>63</v>
      </c>
      <c r="F211" s="73">
        <v>68332</v>
      </c>
      <c r="G211" s="73">
        <v>67139</v>
      </c>
      <c r="H211" s="74">
        <v>98.254109999999997</v>
      </c>
      <c r="I211" s="73">
        <v>72344</v>
      </c>
      <c r="J211" s="73">
        <v>71987</v>
      </c>
      <c r="K211" s="74">
        <v>99.506523999999999</v>
      </c>
      <c r="L211" s="78"/>
    </row>
    <row r="212" spans="1:12" ht="25" customHeight="1" x14ac:dyDescent="0.2">
      <c r="A212" s="11" t="s">
        <v>731</v>
      </c>
      <c r="B212" s="11" t="s">
        <v>732</v>
      </c>
      <c r="C212" s="11" t="s">
        <v>733</v>
      </c>
      <c r="D212" s="11" t="s">
        <v>77</v>
      </c>
      <c r="E212" s="11" t="s">
        <v>59</v>
      </c>
      <c r="F212" s="73">
        <v>59561</v>
      </c>
      <c r="G212" s="73">
        <v>58906</v>
      </c>
      <c r="H212" s="74">
        <v>98.900289999999998</v>
      </c>
      <c r="I212" s="73">
        <v>63757</v>
      </c>
      <c r="J212" s="73">
        <v>62610</v>
      </c>
      <c r="K212" s="74">
        <v>98.200980999999999</v>
      </c>
      <c r="L212" s="78"/>
    </row>
    <row r="213" spans="1:12" ht="25" customHeight="1" x14ac:dyDescent="0.2">
      <c r="A213" s="11" t="s">
        <v>734</v>
      </c>
      <c r="B213" s="11" t="s">
        <v>735</v>
      </c>
      <c r="C213" s="11" t="s">
        <v>736</v>
      </c>
      <c r="D213" s="11" t="s">
        <v>77</v>
      </c>
      <c r="E213" s="11" t="s">
        <v>53</v>
      </c>
      <c r="F213" s="73">
        <v>31575</v>
      </c>
      <c r="G213" s="73">
        <v>31191</v>
      </c>
      <c r="H213" s="74">
        <v>98.783850000000001</v>
      </c>
      <c r="I213" s="73">
        <v>33344</v>
      </c>
      <c r="J213" s="73">
        <v>33188</v>
      </c>
      <c r="K213" s="74">
        <v>99.532149000000004</v>
      </c>
      <c r="L213" s="78"/>
    </row>
    <row r="214" spans="1:12" ht="25" customHeight="1" x14ac:dyDescent="0.2">
      <c r="A214" s="11" t="s">
        <v>737</v>
      </c>
      <c r="B214" s="11" t="s">
        <v>738</v>
      </c>
      <c r="C214" s="11" t="s">
        <v>739</v>
      </c>
      <c r="D214" s="11" t="s">
        <v>77</v>
      </c>
      <c r="E214" s="11" t="s">
        <v>59</v>
      </c>
      <c r="F214" s="73">
        <v>60610</v>
      </c>
      <c r="G214" s="73">
        <v>60283</v>
      </c>
      <c r="H214" s="74">
        <v>99.460489999999993</v>
      </c>
      <c r="I214" s="73">
        <v>66143</v>
      </c>
      <c r="J214" s="73">
        <v>65461</v>
      </c>
      <c r="K214" s="74">
        <v>98.968900000000005</v>
      </c>
      <c r="L214" s="78"/>
    </row>
    <row r="215" spans="1:12" ht="25" customHeight="1" x14ac:dyDescent="0.2">
      <c r="A215" s="11" t="s">
        <v>740</v>
      </c>
      <c r="B215" s="11" t="s">
        <v>741</v>
      </c>
      <c r="C215" s="11" t="s">
        <v>742</v>
      </c>
      <c r="D215" s="11" t="s">
        <v>75</v>
      </c>
      <c r="E215" s="11" t="s">
        <v>53</v>
      </c>
      <c r="F215" s="73">
        <v>12538</v>
      </c>
      <c r="G215" s="73">
        <v>12117</v>
      </c>
      <c r="H215" s="74">
        <v>96.642210000000006</v>
      </c>
      <c r="I215" s="73">
        <v>14545</v>
      </c>
      <c r="J215" s="73">
        <v>14224</v>
      </c>
      <c r="K215" s="74">
        <v>97.793056000000007</v>
      </c>
      <c r="L215" s="78"/>
    </row>
    <row r="216" spans="1:12" ht="25" customHeight="1" x14ac:dyDescent="0.2">
      <c r="A216" s="11" t="s">
        <v>743</v>
      </c>
      <c r="B216" s="11" t="s">
        <v>744</v>
      </c>
      <c r="C216" s="11" t="s">
        <v>745</v>
      </c>
      <c r="D216" s="11" t="s">
        <v>73</v>
      </c>
      <c r="E216" s="11" t="s">
        <v>49</v>
      </c>
      <c r="F216" s="73">
        <v>116001</v>
      </c>
      <c r="G216" s="73">
        <v>112233</v>
      </c>
      <c r="H216" s="74">
        <v>96.751750000000001</v>
      </c>
      <c r="I216" s="73">
        <v>123754</v>
      </c>
      <c r="J216" s="73">
        <v>119025</v>
      </c>
      <c r="K216" s="74">
        <v>96.178708999999998</v>
      </c>
      <c r="L216" s="75"/>
    </row>
    <row r="217" spans="1:12" ht="25" customHeight="1" x14ac:dyDescent="0.2">
      <c r="A217" s="11" t="s">
        <v>746</v>
      </c>
      <c r="B217" s="11" t="s">
        <v>747</v>
      </c>
      <c r="C217" s="11" t="s">
        <v>748</v>
      </c>
      <c r="D217" s="11" t="s">
        <v>73</v>
      </c>
      <c r="E217" s="11" t="s">
        <v>63</v>
      </c>
      <c r="F217" s="73">
        <v>119201</v>
      </c>
      <c r="G217" s="73">
        <v>112048</v>
      </c>
      <c r="H217" s="74">
        <v>93.999210000000005</v>
      </c>
      <c r="I217" s="73">
        <v>127531</v>
      </c>
      <c r="J217" s="73">
        <v>120828</v>
      </c>
      <c r="K217" s="74">
        <v>94.744022999999999</v>
      </c>
      <c r="L217" s="75"/>
    </row>
    <row r="218" spans="1:12" ht="25" customHeight="1" x14ac:dyDescent="0.2">
      <c r="A218" s="11" t="s">
        <v>749</v>
      </c>
      <c r="B218" s="11" t="s">
        <v>750</v>
      </c>
      <c r="C218" s="11" t="s">
        <v>751</v>
      </c>
      <c r="D218" s="11" t="s">
        <v>73</v>
      </c>
      <c r="E218" s="11" t="s">
        <v>49</v>
      </c>
      <c r="F218" s="73">
        <v>69587</v>
      </c>
      <c r="G218" s="73">
        <v>68263</v>
      </c>
      <c r="H218" s="74">
        <v>98.097350000000006</v>
      </c>
      <c r="I218" s="73">
        <v>74745</v>
      </c>
      <c r="J218" s="73">
        <v>72974</v>
      </c>
      <c r="K218" s="74">
        <v>97.630610000000004</v>
      </c>
      <c r="L218" s="75"/>
    </row>
    <row r="219" spans="1:12" ht="25" customHeight="1" x14ac:dyDescent="0.2">
      <c r="A219" s="11" t="s">
        <v>752</v>
      </c>
      <c r="B219" s="11" t="s">
        <v>753</v>
      </c>
      <c r="C219" s="11" t="s">
        <v>754</v>
      </c>
      <c r="D219" s="11" t="s">
        <v>77</v>
      </c>
      <c r="E219" s="11" t="s">
        <v>59</v>
      </c>
      <c r="F219" s="73">
        <v>40535</v>
      </c>
      <c r="G219" s="73">
        <v>39145</v>
      </c>
      <c r="H219" s="74">
        <v>96.570859999999996</v>
      </c>
      <c r="I219" s="73">
        <v>44650</v>
      </c>
      <c r="J219" s="73">
        <v>42790</v>
      </c>
      <c r="K219" s="74">
        <v>95.834266</v>
      </c>
      <c r="L219" s="75"/>
    </row>
    <row r="220" spans="1:12" ht="25" customHeight="1" x14ac:dyDescent="0.2">
      <c r="A220" s="11" t="s">
        <v>755</v>
      </c>
      <c r="B220" s="11" t="s">
        <v>756</v>
      </c>
      <c r="C220" s="11" t="s">
        <v>757</v>
      </c>
      <c r="D220" s="11" t="s">
        <v>73</v>
      </c>
      <c r="E220" s="11" t="s">
        <v>61</v>
      </c>
      <c r="F220" s="73">
        <v>209591</v>
      </c>
      <c r="G220" s="73">
        <v>198646</v>
      </c>
      <c r="H220" s="74">
        <v>94.777919999999995</v>
      </c>
      <c r="I220" s="73">
        <v>222265</v>
      </c>
      <c r="J220" s="73">
        <v>211595</v>
      </c>
      <c r="K220" s="74">
        <v>95.199423999999993</v>
      </c>
      <c r="L220" s="75"/>
    </row>
    <row r="221" spans="1:12" ht="25" customHeight="1" x14ac:dyDescent="0.2">
      <c r="A221" s="11" t="s">
        <v>758</v>
      </c>
      <c r="B221" s="11" t="s">
        <v>759</v>
      </c>
      <c r="C221" s="11" t="s">
        <v>760</v>
      </c>
      <c r="D221" s="11" t="s">
        <v>75</v>
      </c>
      <c r="E221" s="11" t="s">
        <v>63</v>
      </c>
      <c r="F221" s="73">
        <v>83105</v>
      </c>
      <c r="G221" s="73">
        <v>81927</v>
      </c>
      <c r="H221" s="74">
        <v>98.582520000000002</v>
      </c>
      <c r="I221" s="73">
        <v>92358</v>
      </c>
      <c r="J221" s="73">
        <v>90933</v>
      </c>
      <c r="K221" s="74">
        <v>98.457089999999994</v>
      </c>
      <c r="L221" s="75"/>
    </row>
    <row r="222" spans="1:12" ht="25" customHeight="1" x14ac:dyDescent="0.2">
      <c r="A222" s="11" t="s">
        <v>761</v>
      </c>
      <c r="B222" s="11" t="s">
        <v>762</v>
      </c>
      <c r="C222" s="11" t="s">
        <v>763</v>
      </c>
      <c r="D222" s="11" t="s">
        <v>75</v>
      </c>
      <c r="E222" s="11" t="s">
        <v>59</v>
      </c>
      <c r="F222" s="73">
        <v>118972</v>
      </c>
      <c r="G222" s="73">
        <v>115914</v>
      </c>
      <c r="H222" s="74">
        <v>97.429649999999995</v>
      </c>
      <c r="I222" s="73">
        <v>138897</v>
      </c>
      <c r="J222" s="73">
        <v>130213</v>
      </c>
      <c r="K222" s="74">
        <v>93.747884999999997</v>
      </c>
      <c r="L222" s="75"/>
    </row>
    <row r="223" spans="1:12" ht="25" customHeight="1" x14ac:dyDescent="0.2">
      <c r="A223" s="11" t="s">
        <v>764</v>
      </c>
      <c r="B223" s="11" t="s">
        <v>765</v>
      </c>
      <c r="C223" s="11" t="s">
        <v>766</v>
      </c>
      <c r="D223" s="11" t="s">
        <v>73</v>
      </c>
      <c r="E223" s="11" t="s">
        <v>63</v>
      </c>
      <c r="F223" s="73">
        <v>127835</v>
      </c>
      <c r="G223" s="73">
        <v>123374</v>
      </c>
      <c r="H223" s="74">
        <v>96.510350000000003</v>
      </c>
      <c r="I223" s="73">
        <v>131639</v>
      </c>
      <c r="J223" s="73">
        <v>128434</v>
      </c>
      <c r="K223" s="74">
        <v>97.565310999999994</v>
      </c>
      <c r="L223" s="75"/>
    </row>
    <row r="224" spans="1:12" ht="25" customHeight="1" x14ac:dyDescent="0.2">
      <c r="A224" s="11" t="s">
        <v>767</v>
      </c>
      <c r="B224" s="11" t="s">
        <v>768</v>
      </c>
      <c r="C224" s="11" t="s">
        <v>769</v>
      </c>
      <c r="D224" s="11" t="s">
        <v>75</v>
      </c>
      <c r="E224" s="11" t="s">
        <v>57</v>
      </c>
      <c r="F224" s="73">
        <v>180439</v>
      </c>
      <c r="G224" s="73">
        <v>174782</v>
      </c>
      <c r="H224" s="74">
        <v>96.864869999999996</v>
      </c>
      <c r="I224" s="73">
        <v>194910</v>
      </c>
      <c r="J224" s="73">
        <v>185896</v>
      </c>
      <c r="K224" s="74">
        <v>95.375300999999993</v>
      </c>
      <c r="L224" s="75"/>
    </row>
    <row r="225" spans="1:12" ht="25" customHeight="1" x14ac:dyDescent="0.2">
      <c r="A225" s="11" t="s">
        <v>770</v>
      </c>
      <c r="B225" s="11" t="s">
        <v>771</v>
      </c>
      <c r="C225" s="11" t="s">
        <v>772</v>
      </c>
      <c r="D225" s="11" t="s">
        <v>77</v>
      </c>
      <c r="E225" s="11" t="s">
        <v>55</v>
      </c>
      <c r="F225" s="73">
        <v>123542</v>
      </c>
      <c r="G225" s="73">
        <v>122553</v>
      </c>
      <c r="H225" s="74">
        <v>99.199460000000002</v>
      </c>
      <c r="I225" s="73">
        <v>124575</v>
      </c>
      <c r="J225" s="73">
        <v>121754</v>
      </c>
      <c r="K225" s="74">
        <v>97.735500000000002</v>
      </c>
      <c r="L225" s="75"/>
    </row>
    <row r="226" spans="1:12" ht="25" customHeight="1" x14ac:dyDescent="0.2">
      <c r="A226" s="11" t="s">
        <v>773</v>
      </c>
      <c r="B226" s="11" t="s">
        <v>774</v>
      </c>
      <c r="C226" s="11" t="s">
        <v>775</v>
      </c>
      <c r="D226" s="11" t="s">
        <v>77</v>
      </c>
      <c r="E226" s="11" t="s">
        <v>53</v>
      </c>
      <c r="F226" s="73">
        <v>32400</v>
      </c>
      <c r="G226" s="73">
        <v>32167</v>
      </c>
      <c r="H226" s="74">
        <v>99.280860000000004</v>
      </c>
      <c r="I226" s="73">
        <v>34922</v>
      </c>
      <c r="J226" s="73">
        <v>34366</v>
      </c>
      <c r="K226" s="74">
        <v>98.407880000000006</v>
      </c>
      <c r="L226" s="75"/>
    </row>
    <row r="227" spans="1:12" ht="25" customHeight="1" x14ac:dyDescent="0.2">
      <c r="A227" s="11" t="s">
        <v>776</v>
      </c>
      <c r="B227" s="11" t="s">
        <v>777</v>
      </c>
      <c r="C227" s="11" t="s">
        <v>778</v>
      </c>
      <c r="D227" s="11" t="s">
        <v>75</v>
      </c>
      <c r="E227" s="11" t="s">
        <v>57</v>
      </c>
      <c r="F227" s="73">
        <v>171399</v>
      </c>
      <c r="G227" s="73">
        <v>167901</v>
      </c>
      <c r="H227" s="74">
        <v>97.959149999999994</v>
      </c>
      <c r="I227" s="73">
        <v>178679</v>
      </c>
      <c r="J227" s="73">
        <v>176170</v>
      </c>
      <c r="K227" s="74">
        <v>98.595804999999999</v>
      </c>
      <c r="L227" s="75"/>
    </row>
    <row r="228" spans="1:12" ht="25" customHeight="1" x14ac:dyDescent="0.2">
      <c r="A228" s="11" t="s">
        <v>779</v>
      </c>
      <c r="B228" s="11" t="s">
        <v>780</v>
      </c>
      <c r="C228" s="11" t="s">
        <v>781</v>
      </c>
      <c r="D228" s="11" t="s">
        <v>77</v>
      </c>
      <c r="E228" s="11" t="s">
        <v>57</v>
      </c>
      <c r="F228" s="73">
        <v>28238</v>
      </c>
      <c r="G228" s="73">
        <v>27758</v>
      </c>
      <c r="H228" s="74">
        <v>98.300160000000005</v>
      </c>
      <c r="I228" s="73">
        <v>32943</v>
      </c>
      <c r="J228" s="73">
        <v>32507</v>
      </c>
      <c r="K228" s="74">
        <v>98.676501000000002</v>
      </c>
      <c r="L228" s="75"/>
    </row>
    <row r="229" spans="1:12" ht="25" customHeight="1" x14ac:dyDescent="0.2">
      <c r="A229" s="11" t="s">
        <v>782</v>
      </c>
      <c r="B229" s="11" t="s">
        <v>783</v>
      </c>
      <c r="C229" s="11" t="s">
        <v>784</v>
      </c>
      <c r="D229" s="11" t="s">
        <v>77</v>
      </c>
      <c r="E229" s="11" t="s">
        <v>53</v>
      </c>
      <c r="F229" s="73">
        <v>26035</v>
      </c>
      <c r="G229" s="73">
        <v>25333</v>
      </c>
      <c r="H229" s="74">
        <v>97.303629999999998</v>
      </c>
      <c r="I229" s="73">
        <v>27911</v>
      </c>
      <c r="J229" s="73">
        <v>26981</v>
      </c>
      <c r="K229" s="74">
        <v>96.66798</v>
      </c>
      <c r="L229" s="75"/>
    </row>
    <row r="230" spans="1:12" ht="25" customHeight="1" x14ac:dyDescent="0.2">
      <c r="A230" s="11" t="s">
        <v>785</v>
      </c>
      <c r="B230" s="11" t="s">
        <v>786</v>
      </c>
      <c r="C230" s="11" t="s">
        <v>787</v>
      </c>
      <c r="D230" s="11" t="s">
        <v>77</v>
      </c>
      <c r="E230" s="11" t="s">
        <v>53</v>
      </c>
      <c r="F230" s="73">
        <v>42929</v>
      </c>
      <c r="G230" s="73">
        <v>42364</v>
      </c>
      <c r="H230" s="74">
        <v>98.683869999999999</v>
      </c>
      <c r="I230" s="73">
        <v>47909</v>
      </c>
      <c r="J230" s="73">
        <v>47306</v>
      </c>
      <c r="K230" s="74">
        <v>98.741363000000007</v>
      </c>
      <c r="L230" s="75"/>
    </row>
    <row r="231" spans="1:12" ht="25" customHeight="1" x14ac:dyDescent="0.2">
      <c r="A231" s="11" t="s">
        <v>788</v>
      </c>
      <c r="B231" s="11" t="s">
        <v>789</v>
      </c>
      <c r="C231" s="11" t="s">
        <v>790</v>
      </c>
      <c r="D231" s="11" t="s">
        <v>77</v>
      </c>
      <c r="E231" s="11" t="s">
        <v>55</v>
      </c>
      <c r="F231" s="73">
        <v>35554</v>
      </c>
      <c r="G231" s="73">
        <v>34873</v>
      </c>
      <c r="H231" s="74">
        <v>98.084599999999995</v>
      </c>
      <c r="I231" s="73">
        <v>38426</v>
      </c>
      <c r="J231" s="73">
        <v>37730</v>
      </c>
      <c r="K231" s="74">
        <v>98.188726000000003</v>
      </c>
      <c r="L231" s="75"/>
    </row>
    <row r="232" spans="1:12" ht="25" customHeight="1" x14ac:dyDescent="0.2">
      <c r="A232" s="11" t="s">
        <v>791</v>
      </c>
      <c r="B232" s="11" t="s">
        <v>792</v>
      </c>
      <c r="C232" s="11" t="s">
        <v>793</v>
      </c>
      <c r="D232" s="11" t="s">
        <v>77</v>
      </c>
      <c r="E232" s="11" t="s">
        <v>59</v>
      </c>
      <c r="F232" s="73">
        <v>55017</v>
      </c>
      <c r="G232" s="73">
        <v>53170</v>
      </c>
      <c r="H232" s="74">
        <v>96.642859999999999</v>
      </c>
      <c r="I232" s="73">
        <v>60605</v>
      </c>
      <c r="J232" s="73">
        <v>58318</v>
      </c>
      <c r="K232" s="74">
        <v>96.226382999999998</v>
      </c>
      <c r="L232" s="75"/>
    </row>
    <row r="233" spans="1:12" ht="25" customHeight="1" x14ac:dyDescent="0.2">
      <c r="A233" s="11" t="s">
        <v>794</v>
      </c>
      <c r="B233" s="11" t="s">
        <v>795</v>
      </c>
      <c r="C233" s="11" t="s">
        <v>796</v>
      </c>
      <c r="D233" s="11" t="s">
        <v>77</v>
      </c>
      <c r="E233" s="11" t="s">
        <v>49</v>
      </c>
      <c r="F233" s="73">
        <v>42951</v>
      </c>
      <c r="G233" s="73">
        <v>42436</v>
      </c>
      <c r="H233" s="74">
        <v>98.800960000000003</v>
      </c>
      <c r="I233" s="73">
        <v>44752</v>
      </c>
      <c r="J233" s="73">
        <v>43957</v>
      </c>
      <c r="K233" s="74">
        <v>98.223543000000006</v>
      </c>
      <c r="L233" s="75"/>
    </row>
    <row r="234" spans="1:12" ht="25" customHeight="1" x14ac:dyDescent="0.2">
      <c r="A234" s="11" t="s">
        <v>797</v>
      </c>
      <c r="B234" s="11" t="s">
        <v>798</v>
      </c>
      <c r="C234" s="11" t="s">
        <v>799</v>
      </c>
      <c r="D234" s="11" t="s">
        <v>77</v>
      </c>
      <c r="E234" s="11" t="s">
        <v>63</v>
      </c>
      <c r="F234" s="73">
        <v>33972</v>
      </c>
      <c r="G234" s="73">
        <v>33382</v>
      </c>
      <c r="H234" s="74">
        <v>98.263279999999995</v>
      </c>
      <c r="I234" s="73">
        <v>37217</v>
      </c>
      <c r="J234" s="73">
        <v>36577</v>
      </c>
      <c r="K234" s="74">
        <v>98.280355</v>
      </c>
      <c r="L234" s="75"/>
    </row>
    <row r="235" spans="1:12" ht="25" customHeight="1" x14ac:dyDescent="0.2">
      <c r="A235" s="11" t="s">
        <v>800</v>
      </c>
      <c r="B235" s="11" t="s">
        <v>801</v>
      </c>
      <c r="C235" s="11" t="s">
        <v>802</v>
      </c>
      <c r="D235" s="11" t="s">
        <v>73</v>
      </c>
      <c r="E235" s="11" t="s">
        <v>51</v>
      </c>
      <c r="F235" s="73">
        <v>30044</v>
      </c>
      <c r="G235" s="73">
        <v>29682</v>
      </c>
      <c r="H235" s="74">
        <v>98.795100000000005</v>
      </c>
      <c r="I235" s="73">
        <v>31779</v>
      </c>
      <c r="J235" s="73">
        <v>31130</v>
      </c>
      <c r="K235" s="74">
        <v>97.957769999999996</v>
      </c>
      <c r="L235" s="75"/>
    </row>
    <row r="236" spans="1:12" ht="25" customHeight="1" x14ac:dyDescent="0.2">
      <c r="A236" s="11" t="s">
        <v>803</v>
      </c>
      <c r="B236" s="11" t="s">
        <v>804</v>
      </c>
      <c r="C236" s="11" t="s">
        <v>805</v>
      </c>
      <c r="D236" s="11" t="s">
        <v>75</v>
      </c>
      <c r="E236" s="11" t="s">
        <v>59</v>
      </c>
      <c r="F236" s="73">
        <v>111320</v>
      </c>
      <c r="G236" s="73">
        <v>106841</v>
      </c>
      <c r="H236" s="74">
        <v>95.976460000000003</v>
      </c>
      <c r="I236" s="73">
        <v>113142</v>
      </c>
      <c r="J236" s="73">
        <v>108905</v>
      </c>
      <c r="K236" s="74">
        <v>96.255148000000005</v>
      </c>
      <c r="L236" s="75"/>
    </row>
    <row r="237" spans="1:12" ht="25" customHeight="1" x14ac:dyDescent="0.2">
      <c r="A237" s="11" t="s">
        <v>806</v>
      </c>
      <c r="B237" s="11" t="s">
        <v>807</v>
      </c>
      <c r="C237" s="11" t="s">
        <v>808</v>
      </c>
      <c r="D237" s="11" t="s">
        <v>75</v>
      </c>
      <c r="E237" s="11" t="s">
        <v>55</v>
      </c>
      <c r="F237" s="73">
        <v>39980</v>
      </c>
      <c r="G237" s="73">
        <v>39311</v>
      </c>
      <c r="H237" s="74">
        <v>98.326660000000004</v>
      </c>
      <c r="I237" s="73">
        <v>43810</v>
      </c>
      <c r="J237" s="73">
        <v>42952</v>
      </c>
      <c r="K237" s="74">
        <v>98.041543000000004</v>
      </c>
      <c r="L237" s="75"/>
    </row>
    <row r="238" spans="1:12" ht="25" customHeight="1" x14ac:dyDescent="0.2">
      <c r="A238" s="11" t="s">
        <v>809</v>
      </c>
      <c r="B238" s="11" t="s">
        <v>810</v>
      </c>
      <c r="C238" s="11" t="s">
        <v>811</v>
      </c>
      <c r="D238" s="11" t="s">
        <v>69</v>
      </c>
      <c r="E238" s="11" t="s">
        <v>65</v>
      </c>
      <c r="F238" s="73">
        <v>342333</v>
      </c>
      <c r="G238" s="73">
        <v>340621</v>
      </c>
      <c r="H238" s="74">
        <v>99.499899999999997</v>
      </c>
      <c r="I238" s="73">
        <v>359875</v>
      </c>
      <c r="J238" s="73">
        <v>358075</v>
      </c>
      <c r="K238" s="74">
        <v>99.499825999999999</v>
      </c>
      <c r="L238" s="75"/>
    </row>
    <row r="239" spans="1:12" ht="25" customHeight="1" x14ac:dyDescent="0.2">
      <c r="A239" s="11" t="s">
        <v>812</v>
      </c>
      <c r="B239" s="11" t="s">
        <v>813</v>
      </c>
      <c r="C239" s="11" t="s">
        <v>814</v>
      </c>
      <c r="D239" s="11" t="s">
        <v>77</v>
      </c>
      <c r="E239" s="11" t="s">
        <v>59</v>
      </c>
      <c r="F239" s="73">
        <v>52950</v>
      </c>
      <c r="G239" s="73">
        <v>51435</v>
      </c>
      <c r="H239" s="74">
        <v>97.138810000000007</v>
      </c>
      <c r="I239" s="73">
        <v>56516</v>
      </c>
      <c r="J239" s="73">
        <v>55082</v>
      </c>
      <c r="K239" s="74">
        <v>97.462665000000001</v>
      </c>
      <c r="L239" s="75"/>
    </row>
    <row r="240" spans="1:12" ht="25" customHeight="1" x14ac:dyDescent="0.2">
      <c r="A240" s="11" t="s">
        <v>815</v>
      </c>
      <c r="B240" s="11" t="s">
        <v>816</v>
      </c>
      <c r="C240" s="11" t="s">
        <v>817</v>
      </c>
      <c r="D240" s="11" t="s">
        <v>77</v>
      </c>
      <c r="E240" s="11" t="s">
        <v>55</v>
      </c>
      <c r="F240" s="73">
        <v>63416</v>
      </c>
      <c r="G240" s="73">
        <v>62524</v>
      </c>
      <c r="H240" s="74">
        <v>98.593410000000006</v>
      </c>
      <c r="I240" s="73">
        <v>71172</v>
      </c>
      <c r="J240" s="73">
        <v>69474</v>
      </c>
      <c r="K240" s="74">
        <v>97.614230000000006</v>
      </c>
      <c r="L240" s="75"/>
    </row>
    <row r="241" spans="1:12" ht="25" customHeight="1" x14ac:dyDescent="0.2">
      <c r="A241" s="11" t="s">
        <v>818</v>
      </c>
      <c r="B241" s="11" t="s">
        <v>819</v>
      </c>
      <c r="C241" s="11" t="s">
        <v>820</v>
      </c>
      <c r="D241" s="11" t="s">
        <v>73</v>
      </c>
      <c r="E241" s="11" t="s">
        <v>49</v>
      </c>
      <c r="F241" s="73">
        <v>59708</v>
      </c>
      <c r="G241" s="73">
        <v>58341</v>
      </c>
      <c r="H241" s="74">
        <v>97.710520000000002</v>
      </c>
      <c r="I241" s="73">
        <v>64088</v>
      </c>
      <c r="J241" s="73">
        <v>62810</v>
      </c>
      <c r="K241" s="74">
        <v>98.005865999999997</v>
      </c>
      <c r="L241" s="75"/>
    </row>
    <row r="242" spans="1:12" ht="25" customHeight="1" x14ac:dyDescent="0.2">
      <c r="A242" s="11" t="s">
        <v>821</v>
      </c>
      <c r="B242" s="11" t="s">
        <v>822</v>
      </c>
      <c r="C242" s="11" t="s">
        <v>823</v>
      </c>
      <c r="D242" s="11" t="s">
        <v>77</v>
      </c>
      <c r="E242" s="11" t="s">
        <v>63</v>
      </c>
      <c r="F242" s="73">
        <v>54744</v>
      </c>
      <c r="G242" s="73">
        <v>53934</v>
      </c>
      <c r="H242" s="74">
        <v>98.520390000000006</v>
      </c>
      <c r="I242" s="73">
        <v>59607</v>
      </c>
      <c r="J242" s="73">
        <v>58189</v>
      </c>
      <c r="K242" s="74">
        <v>97.621083999999996</v>
      </c>
      <c r="L242" s="75"/>
    </row>
    <row r="243" spans="1:12" ht="25" customHeight="1" x14ac:dyDescent="0.2">
      <c r="A243" s="11" t="s">
        <v>824</v>
      </c>
      <c r="B243" s="11" t="s">
        <v>825</v>
      </c>
      <c r="C243" s="11" t="s">
        <v>826</v>
      </c>
      <c r="D243" s="11" t="s">
        <v>77</v>
      </c>
      <c r="E243" s="11" t="s">
        <v>63</v>
      </c>
      <c r="F243" s="73">
        <v>20162</v>
      </c>
      <c r="G243" s="73">
        <v>20056</v>
      </c>
      <c r="H243" s="74">
        <v>99.474260000000001</v>
      </c>
      <c r="I243" s="73">
        <v>21695</v>
      </c>
      <c r="J243" s="73">
        <v>21429</v>
      </c>
      <c r="K243" s="74">
        <v>98.773910999999998</v>
      </c>
      <c r="L243" s="75"/>
    </row>
    <row r="244" spans="1:12" ht="25" customHeight="1" x14ac:dyDescent="0.2">
      <c r="A244" s="11" t="s">
        <v>827</v>
      </c>
      <c r="B244" s="11" t="s">
        <v>828</v>
      </c>
      <c r="C244" s="11" t="s">
        <v>829</v>
      </c>
      <c r="D244" s="11" t="s">
        <v>77</v>
      </c>
      <c r="E244" s="11" t="s">
        <v>55</v>
      </c>
      <c r="F244" s="73">
        <v>56516</v>
      </c>
      <c r="G244" s="73">
        <v>56079</v>
      </c>
      <c r="H244" s="74">
        <v>99.226770000000002</v>
      </c>
      <c r="I244" s="73">
        <v>58594</v>
      </c>
      <c r="J244" s="73">
        <v>57725</v>
      </c>
      <c r="K244" s="74">
        <v>98.516912000000005</v>
      </c>
      <c r="L244" s="75"/>
    </row>
    <row r="245" spans="1:12" ht="25" customHeight="1" x14ac:dyDescent="0.2">
      <c r="A245" s="11" t="s">
        <v>830</v>
      </c>
      <c r="B245" s="11" t="s">
        <v>831</v>
      </c>
      <c r="C245" s="11" t="s">
        <v>832</v>
      </c>
      <c r="D245" s="11" t="s">
        <v>73</v>
      </c>
      <c r="E245" s="11" t="s">
        <v>49</v>
      </c>
      <c r="F245" s="73">
        <v>90483</v>
      </c>
      <c r="G245" s="73">
        <v>87747</v>
      </c>
      <c r="H245" s="74">
        <v>96.976230000000001</v>
      </c>
      <c r="I245" s="73">
        <v>97201</v>
      </c>
      <c r="J245" s="73">
        <v>94195</v>
      </c>
      <c r="K245" s="74">
        <v>96.907438999999997</v>
      </c>
      <c r="L245" s="75"/>
    </row>
    <row r="246" spans="1:12" ht="25" customHeight="1" x14ac:dyDescent="0.2">
      <c r="A246" s="11" t="s">
        <v>833</v>
      </c>
      <c r="B246" s="11" t="s">
        <v>834</v>
      </c>
      <c r="C246" s="11" t="s">
        <v>835</v>
      </c>
      <c r="D246" s="11" t="s">
        <v>75</v>
      </c>
      <c r="E246" s="11" t="s">
        <v>51</v>
      </c>
      <c r="F246" s="73">
        <v>89440</v>
      </c>
      <c r="G246" s="73">
        <v>88562</v>
      </c>
      <c r="H246" s="74">
        <v>99.018339999999995</v>
      </c>
      <c r="I246" s="73">
        <v>92616</v>
      </c>
      <c r="J246" s="73">
        <v>91330</v>
      </c>
      <c r="K246" s="74">
        <v>98.611470999999995</v>
      </c>
      <c r="L246" s="75"/>
    </row>
    <row r="247" spans="1:12" ht="25" customHeight="1" x14ac:dyDescent="0.2">
      <c r="A247" s="11" t="s">
        <v>836</v>
      </c>
      <c r="B247" s="11" t="s">
        <v>837</v>
      </c>
      <c r="C247" s="11" t="s">
        <v>838</v>
      </c>
      <c r="D247" s="11" t="s">
        <v>75</v>
      </c>
      <c r="E247" s="11" t="s">
        <v>63</v>
      </c>
      <c r="F247" s="73">
        <v>93995</v>
      </c>
      <c r="G247" s="73">
        <v>91295</v>
      </c>
      <c r="H247" s="74">
        <v>97.127510000000001</v>
      </c>
      <c r="I247" s="73">
        <v>98363</v>
      </c>
      <c r="J247" s="73">
        <v>94578</v>
      </c>
      <c r="K247" s="74">
        <v>96.152007999999995</v>
      </c>
      <c r="L247" s="75"/>
    </row>
    <row r="248" spans="1:12" ht="25" customHeight="1" x14ac:dyDescent="0.2">
      <c r="A248" s="11" t="s">
        <v>839</v>
      </c>
      <c r="B248" s="11" t="s">
        <v>840</v>
      </c>
      <c r="C248" s="11" t="s">
        <v>841</v>
      </c>
      <c r="D248" s="11" t="s">
        <v>77</v>
      </c>
      <c r="E248" s="11" t="s">
        <v>63</v>
      </c>
      <c r="F248" s="73">
        <v>60736</v>
      </c>
      <c r="G248" s="73">
        <v>59059</v>
      </c>
      <c r="H248" s="74">
        <v>97.238870000000006</v>
      </c>
      <c r="I248" s="73">
        <v>66133</v>
      </c>
      <c r="J248" s="73">
        <v>64084</v>
      </c>
      <c r="K248" s="74">
        <v>96.901697999999996</v>
      </c>
      <c r="L248" s="75"/>
    </row>
    <row r="249" spans="1:12" ht="25" customHeight="1" x14ac:dyDescent="0.2">
      <c r="A249" s="11" t="s">
        <v>842</v>
      </c>
      <c r="B249" s="11" t="s">
        <v>843</v>
      </c>
      <c r="C249" s="11" t="s">
        <v>844</v>
      </c>
      <c r="D249" s="11" t="s">
        <v>77</v>
      </c>
      <c r="E249" s="11" t="s">
        <v>57</v>
      </c>
      <c r="F249" s="73">
        <v>38826</v>
      </c>
      <c r="G249" s="73">
        <v>37817</v>
      </c>
      <c r="H249" s="74">
        <v>97.401229999999998</v>
      </c>
      <c r="I249" s="73">
        <v>41725</v>
      </c>
      <c r="J249" s="73">
        <v>41048</v>
      </c>
      <c r="K249" s="74">
        <v>98.377471</v>
      </c>
      <c r="L249" s="75"/>
    </row>
    <row r="250" spans="1:12" ht="25" customHeight="1" x14ac:dyDescent="0.2">
      <c r="A250" s="11" t="s">
        <v>845</v>
      </c>
      <c r="B250" s="11" t="s">
        <v>846</v>
      </c>
      <c r="C250" s="11" t="s">
        <v>847</v>
      </c>
      <c r="D250" s="11" t="s">
        <v>73</v>
      </c>
      <c r="E250" s="11" t="s">
        <v>51</v>
      </c>
      <c r="F250" s="73">
        <v>92028</v>
      </c>
      <c r="G250" s="73">
        <v>90393</v>
      </c>
      <c r="H250" s="74">
        <v>98.223370000000003</v>
      </c>
      <c r="I250" s="73">
        <v>96777</v>
      </c>
      <c r="J250" s="73">
        <v>94043</v>
      </c>
      <c r="K250" s="74">
        <v>97.174948000000001</v>
      </c>
      <c r="L250" s="75"/>
    </row>
    <row r="251" spans="1:12" ht="25" customHeight="1" x14ac:dyDescent="0.2">
      <c r="A251" s="11" t="s">
        <v>848</v>
      </c>
      <c r="B251" s="11" t="s">
        <v>849</v>
      </c>
      <c r="C251" s="11" t="s">
        <v>850</v>
      </c>
      <c r="D251" s="11" t="s">
        <v>77</v>
      </c>
      <c r="E251" s="11" t="s">
        <v>59</v>
      </c>
      <c r="F251" s="73">
        <v>37852</v>
      </c>
      <c r="G251" s="73">
        <v>36104</v>
      </c>
      <c r="H251" s="74">
        <v>95.382009999999994</v>
      </c>
      <c r="I251" s="73">
        <v>38871</v>
      </c>
      <c r="J251" s="73">
        <v>38422</v>
      </c>
      <c r="K251" s="74">
        <v>98.844897000000003</v>
      </c>
      <c r="L251" s="75"/>
    </row>
    <row r="252" spans="1:12" ht="25" customHeight="1" x14ac:dyDescent="0.2">
      <c r="A252" s="11" t="s">
        <v>851</v>
      </c>
      <c r="B252" s="11" t="s">
        <v>852</v>
      </c>
      <c r="C252" s="11" t="s">
        <v>853</v>
      </c>
      <c r="D252" s="11" t="s">
        <v>71</v>
      </c>
      <c r="E252" s="11" t="s">
        <v>65</v>
      </c>
      <c r="F252" s="73">
        <v>66066</v>
      </c>
      <c r="G252" s="73">
        <v>65313</v>
      </c>
      <c r="H252" s="74">
        <v>98.860230000000001</v>
      </c>
      <c r="I252" s="73">
        <v>71670</v>
      </c>
      <c r="J252" s="73">
        <v>70224</v>
      </c>
      <c r="K252" s="74">
        <v>97.982418999999993</v>
      </c>
      <c r="L252" s="75"/>
    </row>
    <row r="253" spans="1:12" ht="25" customHeight="1" x14ac:dyDescent="0.2">
      <c r="A253" s="11" t="s">
        <v>854</v>
      </c>
      <c r="B253" s="11" t="s">
        <v>855</v>
      </c>
      <c r="C253" s="11" t="s">
        <v>856</v>
      </c>
      <c r="D253" s="11" t="s">
        <v>77</v>
      </c>
      <c r="E253" s="11" t="s">
        <v>59</v>
      </c>
      <c r="F253" s="73">
        <v>66153</v>
      </c>
      <c r="G253" s="73">
        <v>65057</v>
      </c>
      <c r="H253" s="74">
        <v>98.343230000000005</v>
      </c>
      <c r="I253" s="73">
        <v>70020</v>
      </c>
      <c r="J253" s="73">
        <v>68185</v>
      </c>
      <c r="K253" s="74">
        <v>97.379320000000007</v>
      </c>
      <c r="L253" s="75"/>
    </row>
    <row r="254" spans="1:12" ht="25" customHeight="1" x14ac:dyDescent="0.2">
      <c r="A254" s="11" t="s">
        <v>857</v>
      </c>
      <c r="B254" s="11" t="s">
        <v>858</v>
      </c>
      <c r="C254" s="11" t="s">
        <v>859</v>
      </c>
      <c r="D254" s="11" t="s">
        <v>75</v>
      </c>
      <c r="E254" s="11" t="s">
        <v>57</v>
      </c>
      <c r="F254" s="73">
        <v>122294</v>
      </c>
      <c r="G254" s="73">
        <v>119599</v>
      </c>
      <c r="H254" s="74">
        <v>97.796289999999999</v>
      </c>
      <c r="I254" s="73">
        <v>125927</v>
      </c>
      <c r="J254" s="73">
        <v>121971</v>
      </c>
      <c r="K254" s="74">
        <v>96.858497</v>
      </c>
      <c r="L254" s="75"/>
    </row>
    <row r="255" spans="1:12" ht="25" customHeight="1" x14ac:dyDescent="0.2">
      <c r="A255" s="11" t="s">
        <v>860</v>
      </c>
      <c r="B255" s="11" t="s">
        <v>861</v>
      </c>
      <c r="C255" s="11" t="s">
        <v>862</v>
      </c>
      <c r="D255" s="11" t="s">
        <v>73</v>
      </c>
      <c r="E255" s="11" t="s">
        <v>49</v>
      </c>
      <c r="F255" s="73">
        <v>57346</v>
      </c>
      <c r="G255" s="73">
        <v>55674</v>
      </c>
      <c r="H255" s="74">
        <v>97.084370000000007</v>
      </c>
      <c r="I255" s="73">
        <v>59524</v>
      </c>
      <c r="J255" s="73">
        <v>57379</v>
      </c>
      <c r="K255" s="74">
        <v>96.396411000000001</v>
      </c>
      <c r="L255" s="75"/>
    </row>
    <row r="256" spans="1:12" ht="25" customHeight="1" x14ac:dyDescent="0.2">
      <c r="A256" s="11" t="s">
        <v>863</v>
      </c>
      <c r="B256" s="11" t="s">
        <v>864</v>
      </c>
      <c r="C256" s="11" t="s">
        <v>865</v>
      </c>
      <c r="D256" s="11" t="s">
        <v>77</v>
      </c>
      <c r="E256" s="11" t="s">
        <v>63</v>
      </c>
      <c r="F256" s="73">
        <v>37336</v>
      </c>
      <c r="G256" s="73">
        <v>36919</v>
      </c>
      <c r="H256" s="74">
        <v>98.883120000000005</v>
      </c>
      <c r="I256" s="73">
        <v>38219</v>
      </c>
      <c r="J256" s="73">
        <v>37189</v>
      </c>
      <c r="K256" s="74">
        <v>97.305004999999994</v>
      </c>
      <c r="L256" s="75"/>
    </row>
    <row r="257" spans="1:12" ht="25" customHeight="1" x14ac:dyDescent="0.2">
      <c r="A257" s="11" t="s">
        <v>866</v>
      </c>
      <c r="B257" s="11" t="s">
        <v>867</v>
      </c>
      <c r="C257" s="11" t="s">
        <v>868</v>
      </c>
      <c r="D257" s="11" t="s">
        <v>77</v>
      </c>
      <c r="E257" s="11" t="s">
        <v>59</v>
      </c>
      <c r="F257" s="73">
        <v>19612</v>
      </c>
      <c r="G257" s="73">
        <v>19437</v>
      </c>
      <c r="H257" s="74">
        <v>99.107690000000005</v>
      </c>
      <c r="I257" s="73">
        <v>23662</v>
      </c>
      <c r="J257" s="73">
        <v>22666</v>
      </c>
      <c r="K257" s="74">
        <v>95.790718999999996</v>
      </c>
      <c r="L257" s="75"/>
    </row>
    <row r="258" spans="1:12" ht="25" customHeight="1" x14ac:dyDescent="0.2">
      <c r="A258" s="11" t="s">
        <v>869</v>
      </c>
      <c r="B258" s="11" t="s">
        <v>870</v>
      </c>
      <c r="C258" s="11" t="s">
        <v>871</v>
      </c>
      <c r="D258" s="11" t="s">
        <v>77</v>
      </c>
      <c r="E258" s="11" t="s">
        <v>57</v>
      </c>
      <c r="F258" s="73">
        <v>30780</v>
      </c>
      <c r="G258" s="73">
        <v>30627</v>
      </c>
      <c r="H258" s="74">
        <v>99.502920000000003</v>
      </c>
      <c r="I258" s="73">
        <v>33773</v>
      </c>
      <c r="J258" s="73">
        <v>33450</v>
      </c>
      <c r="K258" s="74">
        <v>99.043614000000005</v>
      </c>
      <c r="L258" s="75"/>
    </row>
    <row r="259" spans="1:12" ht="25" customHeight="1" x14ac:dyDescent="0.2">
      <c r="A259" s="11" t="s">
        <v>872</v>
      </c>
      <c r="B259" s="11" t="s">
        <v>873</v>
      </c>
      <c r="C259" s="11" t="s">
        <v>874</v>
      </c>
      <c r="D259" s="11" t="s">
        <v>75</v>
      </c>
      <c r="E259" s="11" t="s">
        <v>63</v>
      </c>
      <c r="F259" s="73">
        <v>81917</v>
      </c>
      <c r="G259" s="73">
        <v>80370</v>
      </c>
      <c r="H259" s="74">
        <v>98.111500000000007</v>
      </c>
      <c r="I259" s="73">
        <v>84484</v>
      </c>
      <c r="J259" s="73">
        <v>82156</v>
      </c>
      <c r="K259" s="74">
        <v>97.244448000000006</v>
      </c>
      <c r="L259" s="75"/>
    </row>
    <row r="260" spans="1:12" ht="25" customHeight="1" x14ac:dyDescent="0.2">
      <c r="A260" s="11" t="s">
        <v>875</v>
      </c>
      <c r="B260" s="11" t="s">
        <v>876</v>
      </c>
      <c r="C260" s="11" t="s">
        <v>877</v>
      </c>
      <c r="D260" s="11" t="s">
        <v>77</v>
      </c>
      <c r="E260" s="11" t="s">
        <v>55</v>
      </c>
      <c r="F260" s="73">
        <v>30807</v>
      </c>
      <c r="G260" s="73">
        <v>30007</v>
      </c>
      <c r="H260" s="74">
        <v>97.403189999999995</v>
      </c>
      <c r="I260" s="73">
        <v>34065</v>
      </c>
      <c r="J260" s="73">
        <v>32737</v>
      </c>
      <c r="K260" s="74">
        <v>96.101569999999995</v>
      </c>
      <c r="L260" s="75"/>
    </row>
    <row r="261" spans="1:12" ht="25" customHeight="1" x14ac:dyDescent="0.2">
      <c r="A261" s="11" t="s">
        <v>878</v>
      </c>
      <c r="B261" s="11" t="s">
        <v>879</v>
      </c>
      <c r="C261" s="11" t="s">
        <v>880</v>
      </c>
      <c r="D261" s="11" t="s">
        <v>77</v>
      </c>
      <c r="E261" s="11" t="s">
        <v>59</v>
      </c>
      <c r="F261" s="73">
        <v>71446</v>
      </c>
      <c r="G261" s="73">
        <v>70486</v>
      </c>
      <c r="H261" s="74">
        <v>98.656329999999997</v>
      </c>
      <c r="I261" s="73">
        <v>75009</v>
      </c>
      <c r="J261" s="73">
        <v>74162</v>
      </c>
      <c r="K261" s="74">
        <v>98.870801999999998</v>
      </c>
      <c r="L261" s="75"/>
    </row>
    <row r="262" spans="1:12" ht="25" customHeight="1" x14ac:dyDescent="0.2">
      <c r="A262" s="11" t="s">
        <v>881</v>
      </c>
      <c r="B262" s="11" t="s">
        <v>882</v>
      </c>
      <c r="C262" s="11" t="s">
        <v>883</v>
      </c>
      <c r="D262" s="11" t="s">
        <v>77</v>
      </c>
      <c r="E262" s="11" t="s">
        <v>57</v>
      </c>
      <c r="F262" s="73">
        <v>43754</v>
      </c>
      <c r="G262" s="73">
        <v>43635</v>
      </c>
      <c r="H262" s="74">
        <v>99.728020000000001</v>
      </c>
      <c r="I262" s="73">
        <v>47111</v>
      </c>
      <c r="J262" s="73">
        <v>45911</v>
      </c>
      <c r="K262" s="74">
        <v>97.452824000000007</v>
      </c>
      <c r="L262" s="75"/>
    </row>
    <row r="263" spans="1:12" ht="25" customHeight="1" x14ac:dyDescent="0.2">
      <c r="A263" s="11" t="s">
        <v>884</v>
      </c>
      <c r="B263" s="11" t="s">
        <v>885</v>
      </c>
      <c r="C263" s="11" t="s">
        <v>886</v>
      </c>
      <c r="D263" s="11" t="s">
        <v>77</v>
      </c>
      <c r="E263" s="11" t="s">
        <v>59</v>
      </c>
      <c r="F263" s="73">
        <v>36096</v>
      </c>
      <c r="G263" s="73">
        <v>35225</v>
      </c>
      <c r="H263" s="74">
        <v>97.58699</v>
      </c>
      <c r="I263" s="73">
        <v>39288</v>
      </c>
      <c r="J263" s="73">
        <v>37294</v>
      </c>
      <c r="K263" s="74">
        <v>94.924657999999994</v>
      </c>
      <c r="L263" s="75"/>
    </row>
    <row r="264" spans="1:12" ht="25" customHeight="1" x14ac:dyDescent="0.2">
      <c r="A264" s="11" t="s">
        <v>887</v>
      </c>
      <c r="B264" s="11" t="s">
        <v>888</v>
      </c>
      <c r="C264" s="11" t="s">
        <v>889</v>
      </c>
      <c r="D264" s="11" t="s">
        <v>77</v>
      </c>
      <c r="E264" s="11" t="s">
        <v>55</v>
      </c>
      <c r="F264" s="73">
        <v>44101</v>
      </c>
      <c r="G264" s="73">
        <v>43396</v>
      </c>
      <c r="H264" s="74">
        <v>98.401399999999995</v>
      </c>
      <c r="I264" s="73">
        <v>47941</v>
      </c>
      <c r="J264" s="73">
        <v>45079</v>
      </c>
      <c r="K264" s="74">
        <v>94.030162000000004</v>
      </c>
      <c r="L264" s="75"/>
    </row>
    <row r="265" spans="1:12" ht="25" customHeight="1" x14ac:dyDescent="0.2">
      <c r="A265" s="11" t="s">
        <v>890</v>
      </c>
      <c r="B265" s="11" t="s">
        <v>891</v>
      </c>
      <c r="C265" s="11" t="s">
        <v>892</v>
      </c>
      <c r="D265" s="11" t="s">
        <v>75</v>
      </c>
      <c r="E265" s="11" t="s">
        <v>55</v>
      </c>
      <c r="F265" s="73">
        <v>145064</v>
      </c>
      <c r="G265" s="73">
        <v>144129</v>
      </c>
      <c r="H265" s="74">
        <v>99.355459999999994</v>
      </c>
      <c r="I265" s="73">
        <v>149791</v>
      </c>
      <c r="J265" s="73">
        <v>147813</v>
      </c>
      <c r="K265" s="74">
        <v>98.679492999999994</v>
      </c>
      <c r="L265" s="75"/>
    </row>
    <row r="266" spans="1:12" ht="25" customHeight="1" x14ac:dyDescent="0.2">
      <c r="A266" s="11" t="s">
        <v>893</v>
      </c>
      <c r="B266" s="11" t="s">
        <v>894</v>
      </c>
      <c r="C266" s="11" t="s">
        <v>895</v>
      </c>
      <c r="D266" s="11" t="s">
        <v>77</v>
      </c>
      <c r="E266" s="11" t="s">
        <v>59</v>
      </c>
      <c r="F266" s="73">
        <v>73032</v>
      </c>
      <c r="G266" s="73">
        <v>72483</v>
      </c>
      <c r="H266" s="74">
        <v>99.248270000000005</v>
      </c>
      <c r="I266" s="73">
        <v>76323</v>
      </c>
      <c r="J266" s="73">
        <v>75033</v>
      </c>
      <c r="K266" s="74">
        <v>98.309814000000003</v>
      </c>
      <c r="L266" s="75"/>
    </row>
    <row r="267" spans="1:12" ht="25" customHeight="1" x14ac:dyDescent="0.2">
      <c r="A267" s="11" t="s">
        <v>896</v>
      </c>
      <c r="B267" s="11" t="s">
        <v>897</v>
      </c>
      <c r="C267" s="11" t="s">
        <v>898</v>
      </c>
      <c r="D267" s="11" t="s">
        <v>75</v>
      </c>
      <c r="E267" s="11" t="s">
        <v>57</v>
      </c>
      <c r="F267" s="73">
        <v>31151</v>
      </c>
      <c r="G267" s="73">
        <v>29286</v>
      </c>
      <c r="H267" s="74">
        <v>94.013030000000001</v>
      </c>
      <c r="I267" s="73">
        <v>34620</v>
      </c>
      <c r="J267" s="73">
        <v>33477</v>
      </c>
      <c r="K267" s="74">
        <v>96.698440000000005</v>
      </c>
      <c r="L267" s="75"/>
    </row>
    <row r="268" spans="1:12" ht="25" customHeight="1" x14ac:dyDescent="0.2">
      <c r="A268" s="11" t="s">
        <v>899</v>
      </c>
      <c r="B268" s="11" t="s">
        <v>900</v>
      </c>
      <c r="C268" s="11" t="s">
        <v>901</v>
      </c>
      <c r="D268" s="11" t="s">
        <v>77</v>
      </c>
      <c r="E268" s="11" t="s">
        <v>57</v>
      </c>
      <c r="F268" s="73">
        <v>12719</v>
      </c>
      <c r="G268" s="73">
        <v>12463</v>
      </c>
      <c r="H268" s="74">
        <v>97.987260000000006</v>
      </c>
      <c r="I268" s="73">
        <v>14240</v>
      </c>
      <c r="J268" s="73">
        <v>13866</v>
      </c>
      <c r="K268" s="74">
        <v>97.373594999999995</v>
      </c>
      <c r="L268" s="75"/>
    </row>
    <row r="269" spans="1:12" ht="25" customHeight="1" x14ac:dyDescent="0.2">
      <c r="A269" s="11" t="s">
        <v>902</v>
      </c>
      <c r="B269" s="11" t="s">
        <v>903</v>
      </c>
      <c r="C269" s="11" t="s">
        <v>904</v>
      </c>
      <c r="D269" s="11" t="s">
        <v>69</v>
      </c>
      <c r="E269" s="11" t="s">
        <v>65</v>
      </c>
      <c r="F269" s="73">
        <v>440662</v>
      </c>
      <c r="G269" s="73">
        <v>432702</v>
      </c>
      <c r="H269" s="74">
        <v>98.193629999999999</v>
      </c>
      <c r="I269" s="73">
        <v>467775</v>
      </c>
      <c r="J269" s="73">
        <v>454121</v>
      </c>
      <c r="K269" s="74">
        <v>97.081074999999998</v>
      </c>
      <c r="L269" s="75"/>
    </row>
    <row r="270" spans="1:12" ht="25" customHeight="1" x14ac:dyDescent="0.2">
      <c r="A270" s="11" t="s">
        <v>905</v>
      </c>
      <c r="B270" s="11" t="s">
        <v>906</v>
      </c>
      <c r="C270" s="11" t="s">
        <v>907</v>
      </c>
      <c r="D270" s="11" t="s">
        <v>73</v>
      </c>
      <c r="E270" s="11" t="s">
        <v>49</v>
      </c>
      <c r="F270" s="73">
        <v>154732</v>
      </c>
      <c r="G270" s="73">
        <v>151477</v>
      </c>
      <c r="H270" s="74">
        <v>97.896360000000001</v>
      </c>
      <c r="I270" s="73">
        <v>160239</v>
      </c>
      <c r="J270" s="73">
        <v>156863</v>
      </c>
      <c r="K270" s="74">
        <v>97.893146999999999</v>
      </c>
      <c r="L270" s="75"/>
    </row>
    <row r="271" spans="1:12" ht="25" customHeight="1" x14ac:dyDescent="0.2">
      <c r="A271" s="11" t="s">
        <v>908</v>
      </c>
      <c r="B271" s="11" t="s">
        <v>909</v>
      </c>
      <c r="C271" s="11" t="s">
        <v>910</v>
      </c>
      <c r="D271" s="11" t="s">
        <v>77</v>
      </c>
      <c r="E271" s="11" t="s">
        <v>59</v>
      </c>
      <c r="F271" s="73">
        <v>53865</v>
      </c>
      <c r="G271" s="73">
        <v>52828</v>
      </c>
      <c r="H271" s="74">
        <v>98.074820000000003</v>
      </c>
      <c r="I271" s="73">
        <v>58582</v>
      </c>
      <c r="J271" s="73">
        <v>56469</v>
      </c>
      <c r="K271" s="74">
        <v>96.393090000000001</v>
      </c>
      <c r="L271" s="75"/>
    </row>
    <row r="272" spans="1:12" ht="25" customHeight="1" x14ac:dyDescent="0.2">
      <c r="A272" s="11" t="s">
        <v>911</v>
      </c>
      <c r="B272" s="11" t="s">
        <v>912</v>
      </c>
      <c r="C272" s="11" t="s">
        <v>913</v>
      </c>
      <c r="D272" s="11" t="s">
        <v>77</v>
      </c>
      <c r="E272" s="11" t="s">
        <v>55</v>
      </c>
      <c r="F272" s="73">
        <v>55364</v>
      </c>
      <c r="G272" s="73">
        <v>53969</v>
      </c>
      <c r="H272" s="74">
        <v>97.480310000000003</v>
      </c>
      <c r="I272" s="73">
        <v>58534</v>
      </c>
      <c r="J272" s="73">
        <v>57006</v>
      </c>
      <c r="K272" s="74">
        <v>97.389550999999997</v>
      </c>
      <c r="L272" s="75"/>
    </row>
    <row r="273" spans="1:12" ht="25" customHeight="1" x14ac:dyDescent="0.2">
      <c r="A273" s="11" t="s">
        <v>914</v>
      </c>
      <c r="B273" s="11" t="s">
        <v>915</v>
      </c>
      <c r="C273" s="11" t="s">
        <v>916</v>
      </c>
      <c r="D273" s="11" t="s">
        <v>77</v>
      </c>
      <c r="E273" s="11" t="s">
        <v>59</v>
      </c>
      <c r="F273" s="73">
        <v>83293</v>
      </c>
      <c r="G273" s="73">
        <v>80941</v>
      </c>
      <c r="H273" s="74">
        <v>97.176230000000004</v>
      </c>
      <c r="I273" s="73">
        <v>89727</v>
      </c>
      <c r="J273" s="73">
        <v>87687</v>
      </c>
      <c r="K273" s="74">
        <v>97.726436000000007</v>
      </c>
      <c r="L273" s="75"/>
    </row>
    <row r="274" spans="1:12" ht="25" customHeight="1" x14ac:dyDescent="0.2">
      <c r="A274" s="11" t="s">
        <v>917</v>
      </c>
      <c r="B274" s="11" t="s">
        <v>918</v>
      </c>
      <c r="C274" s="11" t="s">
        <v>919</v>
      </c>
      <c r="D274" s="11" t="s">
        <v>73</v>
      </c>
      <c r="E274" s="11" t="s">
        <v>61</v>
      </c>
      <c r="F274" s="73">
        <v>153279</v>
      </c>
      <c r="G274" s="73">
        <v>149251</v>
      </c>
      <c r="H274" s="74">
        <v>97.372110000000006</v>
      </c>
      <c r="I274" s="73">
        <v>164366</v>
      </c>
      <c r="J274" s="73">
        <v>158003</v>
      </c>
      <c r="K274" s="74">
        <v>96.128760999999997</v>
      </c>
      <c r="L274" s="75"/>
    </row>
    <row r="275" spans="1:12" ht="25" customHeight="1" x14ac:dyDescent="0.2">
      <c r="A275" s="11" t="s">
        <v>920</v>
      </c>
      <c r="B275" s="11" t="s">
        <v>921</v>
      </c>
      <c r="C275" s="11" t="s">
        <v>922</v>
      </c>
      <c r="D275" s="11" t="s">
        <v>73</v>
      </c>
      <c r="E275" s="11" t="s">
        <v>63</v>
      </c>
      <c r="F275" s="73">
        <v>78377</v>
      </c>
      <c r="G275" s="73">
        <v>75887</v>
      </c>
      <c r="H275" s="74">
        <v>96.823049999999995</v>
      </c>
      <c r="I275" s="73">
        <v>81692</v>
      </c>
      <c r="J275" s="73">
        <v>78189</v>
      </c>
      <c r="K275" s="74">
        <v>95.711941999999993</v>
      </c>
      <c r="L275" s="75"/>
    </row>
    <row r="276" spans="1:12" ht="25" customHeight="1" x14ac:dyDescent="0.2">
      <c r="A276" s="11" t="s">
        <v>923</v>
      </c>
      <c r="B276" s="11" t="s">
        <v>924</v>
      </c>
      <c r="C276" s="11" t="s">
        <v>925</v>
      </c>
      <c r="D276" s="11" t="s">
        <v>71</v>
      </c>
      <c r="E276" s="11" t="s">
        <v>65</v>
      </c>
      <c r="F276" s="73">
        <v>63734</v>
      </c>
      <c r="G276" s="73">
        <v>60935</v>
      </c>
      <c r="H276" s="74">
        <v>95.608310000000003</v>
      </c>
      <c r="I276" s="73">
        <v>72271</v>
      </c>
      <c r="J276" s="73">
        <v>68317</v>
      </c>
      <c r="K276" s="74">
        <v>94.528925000000001</v>
      </c>
      <c r="L276" s="75"/>
    </row>
    <row r="277" spans="1:12" ht="25" customHeight="1" x14ac:dyDescent="0.2">
      <c r="A277" s="11" t="s">
        <v>926</v>
      </c>
      <c r="B277" s="11" t="s">
        <v>927</v>
      </c>
      <c r="C277" s="11" t="s">
        <v>928</v>
      </c>
      <c r="D277" s="11" t="s">
        <v>69</v>
      </c>
      <c r="E277" s="11" t="s">
        <v>65</v>
      </c>
      <c r="F277" s="73">
        <v>142834</v>
      </c>
      <c r="G277" s="73">
        <v>139219</v>
      </c>
      <c r="H277" s="74">
        <v>97.469089999999994</v>
      </c>
      <c r="I277" s="73">
        <v>158140</v>
      </c>
      <c r="J277" s="73">
        <v>153476</v>
      </c>
      <c r="K277" s="74">
        <v>97.050713999999999</v>
      </c>
      <c r="L277" s="75"/>
    </row>
    <row r="278" spans="1:12" ht="25" customHeight="1" x14ac:dyDescent="0.2">
      <c r="A278" s="11" t="s">
        <v>929</v>
      </c>
      <c r="B278" s="11" t="s">
        <v>930</v>
      </c>
      <c r="C278" s="11" t="s">
        <v>931</v>
      </c>
      <c r="D278" s="11" t="s">
        <v>75</v>
      </c>
      <c r="E278" s="11" t="s">
        <v>49</v>
      </c>
      <c r="F278" s="73">
        <v>114418</v>
      </c>
      <c r="G278" s="73">
        <v>108710</v>
      </c>
      <c r="H278" s="74">
        <v>95.011269999999996</v>
      </c>
      <c r="I278" s="73">
        <v>121178</v>
      </c>
      <c r="J278" s="73">
        <v>113793</v>
      </c>
      <c r="K278" s="74">
        <v>93.905659</v>
      </c>
      <c r="L278" s="75"/>
    </row>
    <row r="279" spans="1:12" ht="25" customHeight="1" x14ac:dyDescent="0.2">
      <c r="A279" s="11" t="s">
        <v>932</v>
      </c>
      <c r="B279" s="11" t="s">
        <v>933</v>
      </c>
      <c r="C279" s="11" t="s">
        <v>934</v>
      </c>
      <c r="D279" s="11" t="s">
        <v>77</v>
      </c>
      <c r="E279" s="11" t="s">
        <v>63</v>
      </c>
      <c r="F279" s="73">
        <v>81474</v>
      </c>
      <c r="G279" s="73">
        <v>79345</v>
      </c>
      <c r="H279" s="74">
        <v>97.386899999999997</v>
      </c>
      <c r="I279" s="73">
        <v>88083</v>
      </c>
      <c r="J279" s="73">
        <v>86627</v>
      </c>
      <c r="K279" s="74">
        <v>98.347013000000004</v>
      </c>
      <c r="L279" s="75"/>
    </row>
    <row r="280" spans="1:12" ht="25" customHeight="1" x14ac:dyDescent="0.2">
      <c r="A280" s="11" t="s">
        <v>935</v>
      </c>
      <c r="B280" s="11" t="s">
        <v>936</v>
      </c>
      <c r="C280" s="11" t="s">
        <v>937</v>
      </c>
      <c r="D280" s="11" t="s">
        <v>77</v>
      </c>
      <c r="E280" s="11" t="s">
        <v>55</v>
      </c>
      <c r="F280" s="73">
        <v>64552</v>
      </c>
      <c r="G280" s="73">
        <v>62512</v>
      </c>
      <c r="H280" s="74">
        <v>96.839759999999998</v>
      </c>
      <c r="I280" s="73">
        <v>70359</v>
      </c>
      <c r="J280" s="73">
        <v>67560</v>
      </c>
      <c r="K280" s="74">
        <v>96.021829999999994</v>
      </c>
      <c r="L280" s="75"/>
    </row>
    <row r="281" spans="1:12" ht="25" customHeight="1" x14ac:dyDescent="0.2">
      <c r="A281" s="11" t="s">
        <v>938</v>
      </c>
      <c r="B281" s="11" t="s">
        <v>939</v>
      </c>
      <c r="C281" s="11" t="s">
        <v>940</v>
      </c>
      <c r="D281" s="11" t="s">
        <v>77</v>
      </c>
      <c r="E281" s="11" t="s">
        <v>59</v>
      </c>
      <c r="F281" s="73">
        <v>35509</v>
      </c>
      <c r="G281" s="73">
        <v>34186</v>
      </c>
      <c r="H281" s="74">
        <v>96.274180000000001</v>
      </c>
      <c r="I281" s="73">
        <v>41622</v>
      </c>
      <c r="J281" s="73">
        <v>39434</v>
      </c>
      <c r="K281" s="74">
        <v>94.743163999999993</v>
      </c>
      <c r="L281" s="75"/>
    </row>
    <row r="282" spans="1:12" ht="25" customHeight="1" x14ac:dyDescent="0.2">
      <c r="A282" s="11" t="s">
        <v>941</v>
      </c>
      <c r="B282" s="11" t="s">
        <v>942</v>
      </c>
      <c r="C282" s="11" t="s">
        <v>943</v>
      </c>
      <c r="D282" s="11" t="s">
        <v>77</v>
      </c>
      <c r="E282" s="11" t="s">
        <v>59</v>
      </c>
      <c r="F282" s="73">
        <v>35884</v>
      </c>
      <c r="G282" s="73">
        <v>34678</v>
      </c>
      <c r="H282" s="74">
        <v>96.639169999999993</v>
      </c>
      <c r="I282" s="73">
        <v>40506</v>
      </c>
      <c r="J282" s="73">
        <v>39058</v>
      </c>
      <c r="K282" s="74">
        <v>96.425219999999996</v>
      </c>
      <c r="L282" s="75"/>
    </row>
    <row r="283" spans="1:12" ht="25" customHeight="1" x14ac:dyDescent="0.2">
      <c r="A283" s="11" t="s">
        <v>944</v>
      </c>
      <c r="B283" s="11" t="s">
        <v>945</v>
      </c>
      <c r="C283" s="11" t="s">
        <v>946</v>
      </c>
      <c r="D283" s="11" t="s">
        <v>77</v>
      </c>
      <c r="E283" s="11" t="s">
        <v>55</v>
      </c>
      <c r="F283" s="73">
        <v>81305</v>
      </c>
      <c r="G283" s="73">
        <v>79444</v>
      </c>
      <c r="H283" s="74">
        <v>97.711089999999999</v>
      </c>
      <c r="I283" s="73">
        <v>80811</v>
      </c>
      <c r="J283" s="73">
        <v>78651</v>
      </c>
      <c r="K283" s="74">
        <v>97.327095999999997</v>
      </c>
      <c r="L283" s="75"/>
    </row>
    <row r="284" spans="1:12" ht="25" customHeight="1" x14ac:dyDescent="0.2">
      <c r="A284" s="11" t="s">
        <v>947</v>
      </c>
      <c r="B284" s="11" t="s">
        <v>948</v>
      </c>
      <c r="C284" s="11" t="s">
        <v>949</v>
      </c>
      <c r="D284" s="11" t="s">
        <v>75</v>
      </c>
      <c r="E284" s="11" t="s">
        <v>59</v>
      </c>
      <c r="F284" s="73">
        <v>100076</v>
      </c>
      <c r="G284" s="73">
        <v>99334</v>
      </c>
      <c r="H284" s="74">
        <v>99.258560000000003</v>
      </c>
      <c r="I284" s="73">
        <v>108495</v>
      </c>
      <c r="J284" s="73">
        <v>105118</v>
      </c>
      <c r="K284" s="74">
        <v>96.887414000000007</v>
      </c>
      <c r="L284" s="75"/>
    </row>
    <row r="285" spans="1:12" ht="25" customHeight="1" x14ac:dyDescent="0.2">
      <c r="A285" s="11" t="s">
        <v>950</v>
      </c>
      <c r="B285" s="11" t="s">
        <v>951</v>
      </c>
      <c r="C285" s="11" t="s">
        <v>952</v>
      </c>
      <c r="D285" s="11" t="s">
        <v>77</v>
      </c>
      <c r="E285" s="11" t="s">
        <v>57</v>
      </c>
      <c r="F285" s="73">
        <v>9960</v>
      </c>
      <c r="G285" s="73">
        <v>9742</v>
      </c>
      <c r="H285" s="74">
        <v>97.811239999999998</v>
      </c>
      <c r="I285" s="73">
        <v>11996</v>
      </c>
      <c r="J285" s="73">
        <v>11683</v>
      </c>
      <c r="K285" s="74">
        <v>97.390795999999995</v>
      </c>
      <c r="L285" s="75"/>
    </row>
    <row r="286" spans="1:12" ht="25" customHeight="1" x14ac:dyDescent="0.2">
      <c r="A286" s="11" t="s">
        <v>953</v>
      </c>
      <c r="B286" s="11" t="s">
        <v>954</v>
      </c>
      <c r="C286" s="11" t="s">
        <v>955</v>
      </c>
      <c r="D286" s="11" t="s">
        <v>77</v>
      </c>
      <c r="E286" s="11" t="s">
        <v>49</v>
      </c>
      <c r="F286" s="73">
        <v>36082</v>
      </c>
      <c r="G286" s="73">
        <v>35062</v>
      </c>
      <c r="H286" s="74">
        <v>97.173109999999994</v>
      </c>
      <c r="I286" s="73">
        <v>38662</v>
      </c>
      <c r="J286" s="73">
        <v>37568</v>
      </c>
      <c r="K286" s="74">
        <v>97.170348000000004</v>
      </c>
      <c r="L286" s="75"/>
    </row>
    <row r="287" spans="1:12" ht="25" customHeight="1" x14ac:dyDescent="0.2">
      <c r="A287" s="11" t="s">
        <v>956</v>
      </c>
      <c r="B287" s="11" t="s">
        <v>957</v>
      </c>
      <c r="C287" s="11" t="s">
        <v>958</v>
      </c>
      <c r="D287" s="11" t="s">
        <v>77</v>
      </c>
      <c r="E287" s="11" t="s">
        <v>53</v>
      </c>
      <c r="F287" s="73">
        <v>19622</v>
      </c>
      <c r="G287" s="73">
        <v>19216</v>
      </c>
      <c r="H287" s="74">
        <v>97.930890000000005</v>
      </c>
      <c r="I287" s="73">
        <v>20931</v>
      </c>
      <c r="J287" s="73">
        <v>20391</v>
      </c>
      <c r="K287" s="74">
        <v>97.420094000000006</v>
      </c>
      <c r="L287" s="75"/>
    </row>
    <row r="288" spans="1:12" ht="25" customHeight="1" x14ac:dyDescent="0.2">
      <c r="A288" s="11" t="s">
        <v>959</v>
      </c>
      <c r="B288" s="11" t="s">
        <v>960</v>
      </c>
      <c r="C288" s="11" t="s">
        <v>961</v>
      </c>
      <c r="D288" s="11" t="s">
        <v>75</v>
      </c>
      <c r="E288" s="11" t="s">
        <v>53</v>
      </c>
      <c r="F288" s="73">
        <v>229083</v>
      </c>
      <c r="G288" s="73">
        <v>224534</v>
      </c>
      <c r="H288" s="74">
        <v>98.014259999999993</v>
      </c>
      <c r="I288" s="73">
        <v>240825</v>
      </c>
      <c r="J288" s="73">
        <v>236752</v>
      </c>
      <c r="K288" s="74">
        <v>98.308729999999997</v>
      </c>
      <c r="L288" s="75"/>
    </row>
    <row r="289" spans="1:12" ht="25" customHeight="1" x14ac:dyDescent="0.2">
      <c r="A289" s="11" t="s">
        <v>962</v>
      </c>
      <c r="B289" s="11" t="s">
        <v>963</v>
      </c>
      <c r="C289" s="11" t="s">
        <v>964</v>
      </c>
      <c r="D289" s="11" t="s">
        <v>77</v>
      </c>
      <c r="E289" s="11" t="s">
        <v>59</v>
      </c>
      <c r="F289" s="73">
        <v>44883</v>
      </c>
      <c r="G289" s="73">
        <v>43831</v>
      </c>
      <c r="H289" s="74">
        <v>97.656130000000005</v>
      </c>
      <c r="I289" s="73">
        <v>48583</v>
      </c>
      <c r="J289" s="73">
        <v>47168</v>
      </c>
      <c r="K289" s="74">
        <v>97.087457999999998</v>
      </c>
      <c r="L289" s="75"/>
    </row>
    <row r="290" spans="1:12" ht="25" customHeight="1" x14ac:dyDescent="0.2">
      <c r="A290" s="11" t="s">
        <v>965</v>
      </c>
      <c r="B290" s="11" t="s">
        <v>966</v>
      </c>
      <c r="C290" s="11" t="s">
        <v>967</v>
      </c>
      <c r="D290" s="11" t="s">
        <v>77</v>
      </c>
      <c r="E290" s="11" t="s">
        <v>55</v>
      </c>
      <c r="F290" s="73">
        <v>82879</v>
      </c>
      <c r="G290" s="73">
        <v>80927</v>
      </c>
      <c r="H290" s="74">
        <v>97.644760000000005</v>
      </c>
      <c r="I290" s="73">
        <v>89420</v>
      </c>
      <c r="J290" s="73">
        <v>87260</v>
      </c>
      <c r="K290" s="74">
        <v>97.584433000000004</v>
      </c>
      <c r="L290" s="75"/>
    </row>
    <row r="291" spans="1:12" ht="25" customHeight="1" x14ac:dyDescent="0.2">
      <c r="A291" s="11" t="s">
        <v>968</v>
      </c>
      <c r="B291" s="11" t="s">
        <v>969</v>
      </c>
      <c r="C291" s="11" t="s">
        <v>970</v>
      </c>
      <c r="D291" s="11" t="s">
        <v>69</v>
      </c>
      <c r="E291" s="11" t="s">
        <v>65</v>
      </c>
      <c r="F291" s="73">
        <v>2079181</v>
      </c>
      <c r="G291" s="73">
        <v>2026808</v>
      </c>
      <c r="H291" s="74">
        <v>97.481080000000006</v>
      </c>
      <c r="I291" s="73">
        <v>2150214</v>
      </c>
      <c r="J291" s="73">
        <v>2100770</v>
      </c>
      <c r="K291" s="74">
        <v>97.700507000000002</v>
      </c>
      <c r="L291" s="75"/>
    </row>
    <row r="292" spans="1:12" ht="25" customHeight="1" x14ac:dyDescent="0.2">
      <c r="A292" s="11" t="s">
        <v>971</v>
      </c>
      <c r="B292" s="11" t="s">
        <v>972</v>
      </c>
      <c r="C292" s="11" t="s">
        <v>973</v>
      </c>
      <c r="D292" s="11" t="s">
        <v>75</v>
      </c>
      <c r="E292" s="11" t="s">
        <v>49</v>
      </c>
      <c r="F292" s="73">
        <v>85086</v>
      </c>
      <c r="G292" s="73">
        <v>82431</v>
      </c>
      <c r="H292" s="74">
        <v>96.879630000000006</v>
      </c>
      <c r="I292" s="73">
        <v>94240</v>
      </c>
      <c r="J292" s="73">
        <v>90617</v>
      </c>
      <c r="K292" s="74">
        <v>96.155559999999994</v>
      </c>
      <c r="L292" s="75"/>
    </row>
    <row r="293" spans="1:12" ht="25" customHeight="1" x14ac:dyDescent="0.2">
      <c r="A293" s="11" t="s">
        <v>974</v>
      </c>
      <c r="B293" s="11" t="s">
        <v>975</v>
      </c>
      <c r="C293" s="11" t="s">
        <v>976</v>
      </c>
      <c r="D293" s="11" t="s">
        <v>73</v>
      </c>
      <c r="E293" s="11" t="s">
        <v>49</v>
      </c>
      <c r="F293" s="73">
        <v>82822</v>
      </c>
      <c r="G293" s="73">
        <v>81015</v>
      </c>
      <c r="H293" s="74">
        <v>97.818209999999993</v>
      </c>
      <c r="I293" s="73">
        <v>87570</v>
      </c>
      <c r="J293" s="73">
        <v>85342</v>
      </c>
      <c r="K293" s="74">
        <v>97.455748999999997</v>
      </c>
      <c r="L293" s="75"/>
    </row>
    <row r="294" spans="1:12" ht="25" customHeight="1" x14ac:dyDescent="0.2">
      <c r="A294" s="11" t="s">
        <v>977</v>
      </c>
      <c r="B294" s="11" t="s">
        <v>978</v>
      </c>
      <c r="C294" s="11" t="s">
        <v>979</v>
      </c>
      <c r="D294" s="11" t="s">
        <v>75</v>
      </c>
      <c r="E294" s="11" t="s">
        <v>57</v>
      </c>
      <c r="F294" s="73">
        <v>176763</v>
      </c>
      <c r="G294" s="73">
        <v>172804</v>
      </c>
      <c r="H294" s="74">
        <v>97.760279999999995</v>
      </c>
      <c r="I294" s="73">
        <v>187489</v>
      </c>
      <c r="J294" s="73">
        <v>182597</v>
      </c>
      <c r="K294" s="74">
        <v>97.390780000000007</v>
      </c>
      <c r="L294" s="75"/>
    </row>
    <row r="295" spans="1:12" ht="25" customHeight="1" x14ac:dyDescent="0.2">
      <c r="A295" s="11" t="s">
        <v>980</v>
      </c>
      <c r="B295" s="11" t="s">
        <v>981</v>
      </c>
      <c r="C295" s="11" t="s">
        <v>982</v>
      </c>
      <c r="D295" s="11" t="s">
        <v>77</v>
      </c>
      <c r="E295" s="11" t="s">
        <v>59</v>
      </c>
      <c r="F295" s="73">
        <v>66642</v>
      </c>
      <c r="G295" s="73">
        <v>65506</v>
      </c>
      <c r="H295" s="74">
        <v>98.295370000000005</v>
      </c>
      <c r="I295" s="73">
        <v>71957</v>
      </c>
      <c r="J295" s="73">
        <v>71314</v>
      </c>
      <c r="K295" s="74">
        <v>99.106409999999997</v>
      </c>
      <c r="L295" s="75"/>
    </row>
    <row r="296" spans="1:12" ht="25" customHeight="1" x14ac:dyDescent="0.2">
      <c r="A296" s="11" t="s">
        <v>983</v>
      </c>
      <c r="B296" s="11" t="s">
        <v>984</v>
      </c>
      <c r="C296" s="11" t="s">
        <v>985</v>
      </c>
      <c r="D296" s="11" t="s">
        <v>75</v>
      </c>
      <c r="E296" s="11" t="s">
        <v>59</v>
      </c>
      <c r="F296" s="73">
        <v>78709</v>
      </c>
      <c r="G296" s="73">
        <v>76529</v>
      </c>
      <c r="H296" s="74">
        <v>97.2303</v>
      </c>
      <c r="I296" s="73">
        <v>84162</v>
      </c>
      <c r="J296" s="73">
        <v>80908</v>
      </c>
      <c r="K296" s="74">
        <v>96.133646999999996</v>
      </c>
      <c r="L296" s="75"/>
    </row>
    <row r="297" spans="1:12" ht="25" customHeight="1" x14ac:dyDescent="0.2">
      <c r="A297" s="11" t="s">
        <v>986</v>
      </c>
      <c r="B297" s="11" t="s">
        <v>987</v>
      </c>
      <c r="C297" s="11" t="s">
        <v>988</v>
      </c>
      <c r="D297" s="11" t="s">
        <v>73</v>
      </c>
      <c r="E297" s="11" t="s">
        <v>49</v>
      </c>
      <c r="F297" s="73">
        <v>70068</v>
      </c>
      <c r="G297" s="73">
        <v>66571</v>
      </c>
      <c r="H297" s="74">
        <v>95.009129999999999</v>
      </c>
      <c r="I297" s="73">
        <v>76584</v>
      </c>
      <c r="J297" s="73">
        <v>71799</v>
      </c>
      <c r="K297" s="74">
        <v>93.751958000000002</v>
      </c>
      <c r="L297" s="75"/>
    </row>
    <row r="298" spans="1:12" ht="25" customHeight="1" x14ac:dyDescent="0.2">
      <c r="A298" s="11" t="s">
        <v>989</v>
      </c>
      <c r="B298" s="11" t="s">
        <v>990</v>
      </c>
      <c r="C298" s="11" t="s">
        <v>991</v>
      </c>
      <c r="D298" s="11" t="s">
        <v>77</v>
      </c>
      <c r="E298" s="11" t="s">
        <v>59</v>
      </c>
      <c r="F298" s="73">
        <v>55069</v>
      </c>
      <c r="G298" s="73">
        <v>52340</v>
      </c>
      <c r="H298" s="74">
        <v>95.044399999999996</v>
      </c>
      <c r="I298" s="73">
        <v>56304</v>
      </c>
      <c r="J298" s="73">
        <v>51931</v>
      </c>
      <c r="K298" s="74">
        <v>92.233232999999998</v>
      </c>
      <c r="L298" s="75"/>
    </row>
    <row r="299" spans="1:12" ht="25" customHeight="1" x14ac:dyDescent="0.2">
      <c r="A299" s="11" t="s">
        <v>992</v>
      </c>
      <c r="B299" s="11" t="s">
        <v>993</v>
      </c>
      <c r="C299" s="11" t="s">
        <v>994</v>
      </c>
      <c r="D299" s="11" t="s">
        <v>75</v>
      </c>
      <c r="E299" s="11" t="s">
        <v>59</v>
      </c>
      <c r="F299" s="73">
        <v>76506</v>
      </c>
      <c r="G299" s="73">
        <v>75180</v>
      </c>
      <c r="H299" s="74">
        <v>98.266800000000003</v>
      </c>
      <c r="I299" s="73">
        <v>82207</v>
      </c>
      <c r="J299" s="73">
        <v>80293</v>
      </c>
      <c r="K299" s="74">
        <v>97.671730999999994</v>
      </c>
      <c r="L299" s="75"/>
    </row>
    <row r="300" spans="1:12" ht="25" customHeight="1" x14ac:dyDescent="0.2">
      <c r="A300" s="11" t="s">
        <v>995</v>
      </c>
      <c r="B300" s="11" t="s">
        <v>996</v>
      </c>
      <c r="C300" s="11" t="s">
        <v>997</v>
      </c>
      <c r="D300" s="11" t="s">
        <v>73</v>
      </c>
      <c r="E300" s="11" t="s">
        <v>63</v>
      </c>
      <c r="F300" s="73">
        <v>80733</v>
      </c>
      <c r="G300" s="73">
        <v>77708</v>
      </c>
      <c r="H300" s="74">
        <v>96.253079999999997</v>
      </c>
      <c r="I300" s="73">
        <v>85605</v>
      </c>
      <c r="J300" s="73">
        <v>83009</v>
      </c>
      <c r="K300" s="74">
        <v>96.967466000000002</v>
      </c>
      <c r="L300" s="75"/>
    </row>
    <row r="301" spans="1:12" ht="25" customHeight="1" x14ac:dyDescent="0.2">
      <c r="A301" s="11" t="s">
        <v>998</v>
      </c>
      <c r="B301" s="11" t="s">
        <v>999</v>
      </c>
      <c r="C301" s="11" t="s">
        <v>1000</v>
      </c>
      <c r="D301" s="11" t="s">
        <v>77</v>
      </c>
      <c r="E301" s="11" t="s">
        <v>63</v>
      </c>
      <c r="F301" s="73">
        <v>41191</v>
      </c>
      <c r="G301" s="73">
        <v>39341</v>
      </c>
      <c r="H301" s="74">
        <v>95.50873</v>
      </c>
      <c r="I301" s="73">
        <v>42647</v>
      </c>
      <c r="J301" s="73">
        <v>41283</v>
      </c>
      <c r="K301" s="74">
        <v>96.801649999999995</v>
      </c>
      <c r="L301" s="75"/>
    </row>
    <row r="302" spans="1:12" ht="25" customHeight="1" x14ac:dyDescent="0.2">
      <c r="A302" s="11" t="s">
        <v>1001</v>
      </c>
      <c r="B302" s="11" t="s">
        <v>1002</v>
      </c>
      <c r="C302" s="11" t="s">
        <v>1003</v>
      </c>
      <c r="D302" s="11" t="s">
        <v>77</v>
      </c>
      <c r="E302" s="11" t="s">
        <v>59</v>
      </c>
      <c r="F302" s="73">
        <v>29298</v>
      </c>
      <c r="G302" s="73">
        <v>28758</v>
      </c>
      <c r="H302" s="74">
        <v>98.156869999999998</v>
      </c>
      <c r="I302" s="73">
        <v>30915</v>
      </c>
      <c r="J302" s="73">
        <v>30121</v>
      </c>
      <c r="K302" s="74">
        <v>97.431667000000004</v>
      </c>
      <c r="L302" s="75"/>
    </row>
    <row r="303" spans="1:12" ht="25" customHeight="1" x14ac:dyDescent="0.2">
      <c r="A303" s="11" t="s">
        <v>1004</v>
      </c>
      <c r="B303" s="11" t="s">
        <v>1005</v>
      </c>
      <c r="C303" s="11" t="s">
        <v>1006</v>
      </c>
      <c r="D303" s="11" t="s">
        <v>77</v>
      </c>
      <c r="E303" s="11" t="s">
        <v>63</v>
      </c>
      <c r="F303" s="73">
        <v>52203</v>
      </c>
      <c r="G303" s="73">
        <v>50530</v>
      </c>
      <c r="H303" s="74">
        <v>96.795199999999994</v>
      </c>
      <c r="I303" s="73">
        <v>56695</v>
      </c>
      <c r="J303" s="73">
        <v>55081</v>
      </c>
      <c r="K303" s="74">
        <v>97.153188</v>
      </c>
      <c r="L303" s="75"/>
    </row>
    <row r="304" spans="1:12" ht="25" customHeight="1" x14ac:dyDescent="0.2">
      <c r="A304" s="11" t="s">
        <v>1007</v>
      </c>
      <c r="B304" s="11" t="s">
        <v>1008</v>
      </c>
      <c r="C304" s="11" t="s">
        <v>1009</v>
      </c>
      <c r="D304" s="11" t="s">
        <v>77</v>
      </c>
      <c r="E304" s="11" t="s">
        <v>49</v>
      </c>
      <c r="F304" s="73">
        <v>26247</v>
      </c>
      <c r="G304" s="73">
        <v>25701</v>
      </c>
      <c r="H304" s="74">
        <v>97.919759999999997</v>
      </c>
      <c r="I304" s="73">
        <v>28925</v>
      </c>
      <c r="J304" s="73">
        <v>28121</v>
      </c>
      <c r="K304" s="74">
        <v>97.220397000000006</v>
      </c>
      <c r="L304" s="75"/>
    </row>
    <row r="305" spans="1:12" ht="25" customHeight="1" x14ac:dyDescent="0.2">
      <c r="A305" s="11" t="s">
        <v>1010</v>
      </c>
      <c r="B305" s="11" t="s">
        <v>1011</v>
      </c>
      <c r="C305" s="11" t="s">
        <v>1012</v>
      </c>
      <c r="D305" s="11" t="s">
        <v>77</v>
      </c>
      <c r="E305" s="11" t="s">
        <v>63</v>
      </c>
      <c r="F305" s="73">
        <v>28396</v>
      </c>
      <c r="G305" s="73">
        <v>27522</v>
      </c>
      <c r="H305" s="74">
        <v>96.9221</v>
      </c>
      <c r="I305" s="73">
        <v>31452</v>
      </c>
      <c r="J305" s="73">
        <v>30194</v>
      </c>
      <c r="K305" s="74">
        <v>96.000253999999998</v>
      </c>
      <c r="L305" s="75"/>
    </row>
    <row r="306" spans="1:12" ht="25" customHeight="1" x14ac:dyDescent="0.2">
      <c r="A306" s="11" t="s">
        <v>1013</v>
      </c>
      <c r="B306" s="11" t="s">
        <v>1014</v>
      </c>
      <c r="C306" s="11" t="s">
        <v>1015</v>
      </c>
      <c r="D306" s="11" t="s">
        <v>75</v>
      </c>
      <c r="E306" s="11" t="s">
        <v>61</v>
      </c>
      <c r="F306" s="73">
        <v>89910</v>
      </c>
      <c r="G306" s="73">
        <v>88341</v>
      </c>
      <c r="H306" s="74">
        <v>98.254919999999998</v>
      </c>
      <c r="I306" s="73">
        <v>96636</v>
      </c>
      <c r="J306" s="73">
        <v>95127</v>
      </c>
      <c r="K306" s="74">
        <v>98.438469999999995</v>
      </c>
      <c r="L306" s="75"/>
    </row>
  </sheetData>
  <pageMargins left="0.70000000000000007" right="0.70000000000000007" top="0.75" bottom="0.75" header="0.30000000000000004" footer="0.30000000000000004"/>
  <pageSetup paperSize="0" fitToWidth="0" fitToHeight="0" orientation="portrait" horizontalDpi="0" verticalDpi="0" copies="0"/>
  <headerFooter>
    <oddHeader xml:space="preserve">&amp;C&amp;"Calibri,Regular" OFFICIAL-SENSITIVE - DLUHC USE ONLY&amp;1#
</oddHeader>
    <oddFooter>&amp;C
&amp;1#&amp;"Calibri,Regular"&amp;10 OFFICIAL-SENSITIVE - DLUHC USE ONLY</oddFooter>
  </headerFooter>
  <tableParts count="1">
    <tablePart r:id="rId1"/>
  </tableParts>
</worksheet>
</file>

<file path=xl/worksheets/sheet7.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390EF-EA82-9143-9E73-940F0F23C6E2}">
  <dimension ref="A1:F303"/>
  <sheetViews>
    <sheetView workbookViewId="0"/>
  </sheetViews>
  <sheetFormatPr baseColWidth="10" defaultColWidth="10.6640625" defaultRowHeight="12.5" x14ac:dyDescent="0.15"/>
  <cols>
    <col min="1" max="1" width="44.1640625" bestFit="1" customWidth="1"/>
    <col min="2" max="2" width="10.6640625" customWidth="1"/>
    <col min="3" max="3" width="18.33203125" bestFit="1" customWidth="1"/>
    <col min="4" max="4" width="27.83203125" bestFit="1" customWidth="1"/>
    <col min="5" max="5" width="10.6640625" customWidth="1"/>
  </cols>
  <sheetData>
    <row r="1" spans="1:6" ht="13" x14ac:dyDescent="0.15">
      <c r="A1" t="s">
        <v>85</v>
      </c>
      <c r="B1" t="s">
        <v>130</v>
      </c>
      <c r="C1" t="s">
        <v>87</v>
      </c>
      <c r="D1" s="79" t="s">
        <v>89</v>
      </c>
      <c r="E1" t="s">
        <v>59</v>
      </c>
      <c r="F1" t="s">
        <v>1022</v>
      </c>
    </row>
    <row r="2" spans="1:6" ht="13" x14ac:dyDescent="0.15">
      <c r="A2" t="s">
        <v>131</v>
      </c>
      <c r="B2" t="s">
        <v>132</v>
      </c>
      <c r="C2" t="s">
        <v>133</v>
      </c>
      <c r="D2" s="79" t="s">
        <v>89</v>
      </c>
      <c r="E2" t="s">
        <v>53</v>
      </c>
      <c r="F2" t="s">
        <v>54</v>
      </c>
    </row>
    <row r="3" spans="1:6" ht="13" x14ac:dyDescent="0.15">
      <c r="A3" t="s">
        <v>134</v>
      </c>
      <c r="B3" t="s">
        <v>135</v>
      </c>
      <c r="C3" t="s">
        <v>136</v>
      </c>
      <c r="D3" s="79" t="s">
        <v>89</v>
      </c>
      <c r="E3" t="s">
        <v>59</v>
      </c>
      <c r="F3" t="s">
        <v>1022</v>
      </c>
    </row>
    <row r="4" spans="1:6" ht="13" x14ac:dyDescent="0.15">
      <c r="A4" t="s">
        <v>137</v>
      </c>
      <c r="B4" t="s">
        <v>138</v>
      </c>
      <c r="C4" t="s">
        <v>139</v>
      </c>
      <c r="D4" s="79" t="s">
        <v>89</v>
      </c>
      <c r="E4" t="s">
        <v>53</v>
      </c>
      <c r="F4" t="s">
        <v>54</v>
      </c>
    </row>
    <row r="5" spans="1:6" ht="13" x14ac:dyDescent="0.15">
      <c r="A5" t="s">
        <v>140</v>
      </c>
      <c r="B5" t="s">
        <v>141</v>
      </c>
      <c r="C5" t="s">
        <v>142</v>
      </c>
      <c r="D5" s="79" t="s">
        <v>89</v>
      </c>
      <c r="E5" t="s">
        <v>59</v>
      </c>
      <c r="F5" t="s">
        <v>1022</v>
      </c>
    </row>
    <row r="6" spans="1:6" ht="13" x14ac:dyDescent="0.15">
      <c r="A6" t="s">
        <v>143</v>
      </c>
      <c r="B6" t="s">
        <v>144</v>
      </c>
      <c r="C6" t="s">
        <v>145</v>
      </c>
      <c r="D6" s="79" t="s">
        <v>89</v>
      </c>
      <c r="E6" t="s">
        <v>55</v>
      </c>
      <c r="F6" t="s">
        <v>1023</v>
      </c>
    </row>
    <row r="7" spans="1:6" ht="13" x14ac:dyDescent="0.15">
      <c r="A7" t="s">
        <v>1024</v>
      </c>
      <c r="B7" t="s">
        <v>147</v>
      </c>
      <c r="C7" t="s">
        <v>148</v>
      </c>
      <c r="D7" s="79" t="s">
        <v>123</v>
      </c>
      <c r="E7" t="s">
        <v>65</v>
      </c>
      <c r="F7" t="s">
        <v>66</v>
      </c>
    </row>
    <row r="8" spans="1:6" ht="13" x14ac:dyDescent="0.15">
      <c r="A8" t="s">
        <v>149</v>
      </c>
      <c r="B8" t="s">
        <v>150</v>
      </c>
      <c r="C8" t="s">
        <v>151</v>
      </c>
      <c r="D8" s="79" t="s">
        <v>123</v>
      </c>
      <c r="E8" t="s">
        <v>65</v>
      </c>
      <c r="F8" t="s">
        <v>66</v>
      </c>
    </row>
    <row r="9" spans="1:6" ht="13" x14ac:dyDescent="0.15">
      <c r="A9" t="s">
        <v>152</v>
      </c>
      <c r="B9" t="s">
        <v>153</v>
      </c>
      <c r="C9" t="s">
        <v>154</v>
      </c>
      <c r="D9" s="79" t="s">
        <v>125</v>
      </c>
      <c r="E9" t="s">
        <v>61</v>
      </c>
      <c r="F9" t="s">
        <v>1025</v>
      </c>
    </row>
    <row r="10" spans="1:6" ht="13" x14ac:dyDescent="0.15">
      <c r="A10" t="s">
        <v>155</v>
      </c>
      <c r="B10" t="s">
        <v>156</v>
      </c>
      <c r="C10" t="s">
        <v>157</v>
      </c>
      <c r="D10" s="79" t="s">
        <v>89</v>
      </c>
      <c r="E10" t="s">
        <v>55</v>
      </c>
      <c r="F10" t="s">
        <v>1023</v>
      </c>
    </row>
    <row r="11" spans="1:6" ht="13" x14ac:dyDescent="0.15">
      <c r="A11" t="s">
        <v>158</v>
      </c>
      <c r="B11" t="s">
        <v>159</v>
      </c>
      <c r="C11" t="s">
        <v>160</v>
      </c>
      <c r="D11" s="79" t="s">
        <v>89</v>
      </c>
      <c r="E11" t="s">
        <v>59</v>
      </c>
      <c r="F11" t="s">
        <v>1022</v>
      </c>
    </row>
    <row r="12" spans="1:6" ht="13" x14ac:dyDescent="0.15">
      <c r="A12" t="s">
        <v>161</v>
      </c>
      <c r="B12" t="s">
        <v>162</v>
      </c>
      <c r="C12" t="s">
        <v>163</v>
      </c>
      <c r="D12" s="79" t="s">
        <v>89</v>
      </c>
      <c r="E12" t="s">
        <v>53</v>
      </c>
      <c r="F12" t="s">
        <v>54</v>
      </c>
    </row>
    <row r="13" spans="1:6" ht="13" x14ac:dyDescent="0.15">
      <c r="A13" t="s">
        <v>164</v>
      </c>
      <c r="B13" t="s">
        <v>165</v>
      </c>
      <c r="C13" t="s">
        <v>166</v>
      </c>
      <c r="D13" s="79" t="s">
        <v>127</v>
      </c>
      <c r="E13" t="s">
        <v>57</v>
      </c>
      <c r="F13" t="s">
        <v>1026</v>
      </c>
    </row>
    <row r="14" spans="1:6" ht="13" x14ac:dyDescent="0.15">
      <c r="A14" t="s">
        <v>1027</v>
      </c>
      <c r="B14" t="s">
        <v>168</v>
      </c>
      <c r="C14" t="s">
        <v>169</v>
      </c>
      <c r="D14" s="79" t="s">
        <v>127</v>
      </c>
      <c r="E14" t="s">
        <v>55</v>
      </c>
      <c r="F14" t="s">
        <v>1023</v>
      </c>
    </row>
    <row r="15" spans="1:6" ht="13" x14ac:dyDescent="0.15">
      <c r="A15" t="s">
        <v>170</v>
      </c>
      <c r="B15" t="s">
        <v>171</v>
      </c>
      <c r="C15" t="s">
        <v>172</v>
      </c>
      <c r="D15" s="79" t="s">
        <v>123</v>
      </c>
      <c r="E15" t="s">
        <v>65</v>
      </c>
      <c r="F15" t="s">
        <v>66</v>
      </c>
    </row>
    <row r="16" spans="1:6" ht="13" x14ac:dyDescent="0.15">
      <c r="A16" t="s">
        <v>173</v>
      </c>
      <c r="B16" t="s">
        <v>174</v>
      </c>
      <c r="C16" t="s">
        <v>175</v>
      </c>
      <c r="D16" s="79" t="s">
        <v>125</v>
      </c>
      <c r="E16" t="s">
        <v>63</v>
      </c>
      <c r="F16" t="s">
        <v>64</v>
      </c>
    </row>
    <row r="17" spans="1:6" ht="13" x14ac:dyDescent="0.15">
      <c r="A17" t="s">
        <v>176</v>
      </c>
      <c r="B17" t="s">
        <v>177</v>
      </c>
      <c r="C17" t="s">
        <v>178</v>
      </c>
      <c r="D17" s="79" t="s">
        <v>89</v>
      </c>
      <c r="E17" t="s">
        <v>53</v>
      </c>
      <c r="F17" t="s">
        <v>54</v>
      </c>
    </row>
    <row r="18" spans="1:6" ht="13" x14ac:dyDescent="0.15">
      <c r="A18" t="s">
        <v>1028</v>
      </c>
      <c r="B18" t="s">
        <v>180</v>
      </c>
      <c r="C18" t="s">
        <v>181</v>
      </c>
      <c r="D18" s="79" t="s">
        <v>127</v>
      </c>
      <c r="E18" t="s">
        <v>49</v>
      </c>
      <c r="F18" t="s">
        <v>1029</v>
      </c>
    </row>
    <row r="19" spans="1:6" ht="13" x14ac:dyDescent="0.15">
      <c r="A19" t="s">
        <v>1030</v>
      </c>
      <c r="B19" t="s">
        <v>183</v>
      </c>
      <c r="C19" t="s">
        <v>184</v>
      </c>
      <c r="D19" s="79" t="s">
        <v>127</v>
      </c>
      <c r="E19" t="s">
        <v>49</v>
      </c>
      <c r="F19" t="s">
        <v>1029</v>
      </c>
    </row>
    <row r="20" spans="1:6" ht="13" x14ac:dyDescent="0.15">
      <c r="A20" t="s">
        <v>185</v>
      </c>
      <c r="B20" t="s">
        <v>186</v>
      </c>
      <c r="C20" t="s">
        <v>187</v>
      </c>
      <c r="D20" s="79" t="s">
        <v>89</v>
      </c>
      <c r="E20" t="s">
        <v>53</v>
      </c>
      <c r="F20" t="s">
        <v>54</v>
      </c>
    </row>
    <row r="21" spans="1:6" ht="13" x14ac:dyDescent="0.15">
      <c r="A21" t="s">
        <v>188</v>
      </c>
      <c r="B21" t="s">
        <v>189</v>
      </c>
      <c r="C21" t="s">
        <v>190</v>
      </c>
      <c r="D21" s="79" t="s">
        <v>125</v>
      </c>
      <c r="E21" t="s">
        <v>49</v>
      </c>
      <c r="F21" t="s">
        <v>1029</v>
      </c>
    </row>
    <row r="22" spans="1:6" ht="13" x14ac:dyDescent="0.15">
      <c r="A22" t="s">
        <v>191</v>
      </c>
      <c r="B22" t="s">
        <v>192</v>
      </c>
      <c r="C22" t="s">
        <v>193</v>
      </c>
      <c r="D22" s="79" t="s">
        <v>89</v>
      </c>
      <c r="E22" t="s">
        <v>53</v>
      </c>
      <c r="F22" t="s">
        <v>54</v>
      </c>
    </row>
    <row r="23" spans="1:6" ht="13" x14ac:dyDescent="0.15">
      <c r="A23" t="s">
        <v>1031</v>
      </c>
      <c r="B23" t="s">
        <v>195</v>
      </c>
      <c r="C23" t="s">
        <v>196</v>
      </c>
      <c r="D23" s="79" t="s">
        <v>127</v>
      </c>
      <c r="E23" t="s">
        <v>57</v>
      </c>
      <c r="F23" t="s">
        <v>1026</v>
      </c>
    </row>
    <row r="24" spans="1:6" ht="13" x14ac:dyDescent="0.15">
      <c r="A24" t="s">
        <v>1032</v>
      </c>
      <c r="B24" t="s">
        <v>198</v>
      </c>
      <c r="C24" t="s">
        <v>199</v>
      </c>
      <c r="D24" s="79" t="s">
        <v>127</v>
      </c>
      <c r="E24" t="s">
        <v>59</v>
      </c>
      <c r="F24" t="s">
        <v>1022</v>
      </c>
    </row>
    <row r="25" spans="1:6" ht="13" x14ac:dyDescent="0.15">
      <c r="A25" t="s">
        <v>200</v>
      </c>
      <c r="B25" t="s">
        <v>201</v>
      </c>
      <c r="C25" t="s">
        <v>202</v>
      </c>
      <c r="D25" s="79" t="s">
        <v>125</v>
      </c>
      <c r="E25" t="s">
        <v>61</v>
      </c>
      <c r="F25" t="s">
        <v>1025</v>
      </c>
    </row>
    <row r="26" spans="1:6" ht="13" x14ac:dyDescent="0.15">
      <c r="A26" t="s">
        <v>1033</v>
      </c>
      <c r="B26" t="s">
        <v>204</v>
      </c>
      <c r="C26" t="s">
        <v>205</v>
      </c>
      <c r="D26" s="79" t="s">
        <v>89</v>
      </c>
      <c r="E26" t="s">
        <v>55</v>
      </c>
      <c r="F26" t="s">
        <v>1023</v>
      </c>
    </row>
    <row r="27" spans="1:6" ht="13" x14ac:dyDescent="0.15">
      <c r="A27" t="s">
        <v>206</v>
      </c>
      <c r="B27" t="s">
        <v>207</v>
      </c>
      <c r="C27" t="s">
        <v>208</v>
      </c>
      <c r="D27" s="79" t="s">
        <v>89</v>
      </c>
      <c r="E27" t="s">
        <v>55</v>
      </c>
      <c r="F27" t="s">
        <v>1023</v>
      </c>
    </row>
    <row r="28" spans="1:6" ht="13" x14ac:dyDescent="0.15">
      <c r="A28" t="s">
        <v>209</v>
      </c>
      <c r="B28" t="s">
        <v>210</v>
      </c>
      <c r="C28" t="s">
        <v>211</v>
      </c>
      <c r="D28" s="79" t="s">
        <v>123</v>
      </c>
      <c r="E28" t="s">
        <v>65</v>
      </c>
      <c r="F28" t="s">
        <v>66</v>
      </c>
    </row>
    <row r="29" spans="1:6" ht="13" x14ac:dyDescent="0.15">
      <c r="A29" t="s">
        <v>212</v>
      </c>
      <c r="B29" t="s">
        <v>213</v>
      </c>
      <c r="C29" t="s">
        <v>214</v>
      </c>
      <c r="D29" s="79" t="s">
        <v>89</v>
      </c>
      <c r="E29" t="s">
        <v>55</v>
      </c>
      <c r="F29" t="s">
        <v>1023</v>
      </c>
    </row>
    <row r="30" spans="1:6" ht="13" x14ac:dyDescent="0.15">
      <c r="A30" t="s">
        <v>1034</v>
      </c>
      <c r="B30" t="s">
        <v>216</v>
      </c>
      <c r="C30" t="s">
        <v>217</v>
      </c>
      <c r="D30" s="79" t="s">
        <v>127</v>
      </c>
      <c r="E30" t="s">
        <v>59</v>
      </c>
      <c r="F30" t="s">
        <v>1022</v>
      </c>
    </row>
    <row r="31" spans="1:6" ht="13" x14ac:dyDescent="0.15">
      <c r="A31" t="s">
        <v>218</v>
      </c>
      <c r="B31" t="s">
        <v>219</v>
      </c>
      <c r="C31" t="s">
        <v>220</v>
      </c>
      <c r="D31" s="79" t="s">
        <v>127</v>
      </c>
      <c r="E31" t="s">
        <v>57</v>
      </c>
      <c r="F31" t="s">
        <v>1026</v>
      </c>
    </row>
    <row r="32" spans="1:6" ht="13" x14ac:dyDescent="0.15">
      <c r="A32" t="s">
        <v>221</v>
      </c>
      <c r="B32" t="s">
        <v>222</v>
      </c>
      <c r="C32" t="s">
        <v>223</v>
      </c>
      <c r="D32" s="79" t="s">
        <v>89</v>
      </c>
      <c r="E32" t="s">
        <v>55</v>
      </c>
      <c r="F32" t="s">
        <v>1023</v>
      </c>
    </row>
    <row r="33" spans="1:6" ht="13" x14ac:dyDescent="0.15">
      <c r="A33" t="s">
        <v>224</v>
      </c>
      <c r="B33" t="s">
        <v>225</v>
      </c>
      <c r="C33" t="s">
        <v>226</v>
      </c>
      <c r="D33" s="79" t="s">
        <v>123</v>
      </c>
      <c r="E33" t="s">
        <v>65</v>
      </c>
      <c r="F33" t="s">
        <v>66</v>
      </c>
    </row>
    <row r="34" spans="1:6" ht="13" x14ac:dyDescent="0.15">
      <c r="A34" t="s">
        <v>227</v>
      </c>
      <c r="B34" t="s">
        <v>228</v>
      </c>
      <c r="C34" t="s">
        <v>229</v>
      </c>
      <c r="D34" s="79" t="s">
        <v>89</v>
      </c>
      <c r="E34" t="s">
        <v>63</v>
      </c>
      <c r="F34" t="s">
        <v>64</v>
      </c>
    </row>
    <row r="35" spans="1:6" ht="13" x14ac:dyDescent="0.15">
      <c r="A35" t="s">
        <v>230</v>
      </c>
      <c r="B35" t="s">
        <v>231</v>
      </c>
      <c r="C35" t="s">
        <v>232</v>
      </c>
      <c r="D35" s="79" t="s">
        <v>89</v>
      </c>
      <c r="E35" t="s">
        <v>55</v>
      </c>
      <c r="F35" t="s">
        <v>1023</v>
      </c>
    </row>
    <row r="36" spans="1:6" ht="13" x14ac:dyDescent="0.15">
      <c r="A36" t="s">
        <v>233</v>
      </c>
      <c r="B36" t="s">
        <v>234</v>
      </c>
      <c r="C36" t="s">
        <v>235</v>
      </c>
      <c r="D36" s="79" t="s">
        <v>89</v>
      </c>
      <c r="E36" t="s">
        <v>53</v>
      </c>
      <c r="F36" t="s">
        <v>54</v>
      </c>
    </row>
    <row r="37" spans="1:6" ht="13" x14ac:dyDescent="0.15">
      <c r="A37" t="s">
        <v>1035</v>
      </c>
      <c r="B37" t="s">
        <v>237</v>
      </c>
      <c r="C37" t="s">
        <v>238</v>
      </c>
      <c r="D37" s="79" t="s">
        <v>127</v>
      </c>
      <c r="E37" t="s">
        <v>59</v>
      </c>
      <c r="F37" t="s">
        <v>1022</v>
      </c>
    </row>
    <row r="38" spans="1:6" ht="13" x14ac:dyDescent="0.15">
      <c r="A38" t="s">
        <v>239</v>
      </c>
      <c r="B38" t="s">
        <v>240</v>
      </c>
      <c r="C38" t="s">
        <v>241</v>
      </c>
      <c r="D38" s="79" t="s">
        <v>89</v>
      </c>
      <c r="E38" t="s">
        <v>49</v>
      </c>
      <c r="F38" t="s">
        <v>1029</v>
      </c>
    </row>
    <row r="39" spans="1:6" ht="13" x14ac:dyDescent="0.15">
      <c r="A39" t="s">
        <v>242</v>
      </c>
      <c r="B39" t="s">
        <v>243</v>
      </c>
      <c r="C39" t="s">
        <v>244</v>
      </c>
      <c r="D39" s="79" t="s">
        <v>125</v>
      </c>
      <c r="E39" t="s">
        <v>49</v>
      </c>
      <c r="F39" t="s">
        <v>1029</v>
      </c>
    </row>
    <row r="40" spans="1:6" ht="13" x14ac:dyDescent="0.15">
      <c r="A40" t="s">
        <v>245</v>
      </c>
      <c r="B40" t="s">
        <v>246</v>
      </c>
      <c r="C40" t="s">
        <v>247</v>
      </c>
      <c r="D40" s="79" t="s">
        <v>125</v>
      </c>
      <c r="E40" t="s">
        <v>61</v>
      </c>
      <c r="F40" t="s">
        <v>1025</v>
      </c>
    </row>
    <row r="41" spans="1:6" ht="13" x14ac:dyDescent="0.15">
      <c r="A41" t="s">
        <v>248</v>
      </c>
      <c r="B41" t="s">
        <v>249</v>
      </c>
      <c r="C41" t="s">
        <v>250</v>
      </c>
      <c r="D41" s="79" t="s">
        <v>89</v>
      </c>
      <c r="E41" t="s">
        <v>55</v>
      </c>
      <c r="F41" t="s">
        <v>1023</v>
      </c>
    </row>
    <row r="42" spans="1:6" ht="13" x14ac:dyDescent="0.15">
      <c r="A42" t="s">
        <v>251</v>
      </c>
      <c r="B42" t="s">
        <v>252</v>
      </c>
      <c r="C42" t="s">
        <v>253</v>
      </c>
      <c r="D42" s="79" t="s">
        <v>121</v>
      </c>
      <c r="E42" t="s">
        <v>65</v>
      </c>
      <c r="F42" t="s">
        <v>66</v>
      </c>
    </row>
    <row r="43" spans="1:6" ht="13" x14ac:dyDescent="0.15">
      <c r="A43" t="s">
        <v>254</v>
      </c>
      <c r="B43" t="s">
        <v>255</v>
      </c>
      <c r="C43" t="s">
        <v>256</v>
      </c>
      <c r="D43" s="79" t="s">
        <v>89</v>
      </c>
      <c r="E43" t="s">
        <v>63</v>
      </c>
      <c r="F43" t="s">
        <v>64</v>
      </c>
    </row>
    <row r="44" spans="1:6" ht="13" x14ac:dyDescent="0.15">
      <c r="A44" t="s">
        <v>257</v>
      </c>
      <c r="B44" t="s">
        <v>258</v>
      </c>
      <c r="C44" t="s">
        <v>259</v>
      </c>
      <c r="D44" s="79" t="s">
        <v>89</v>
      </c>
      <c r="E44" t="s">
        <v>59</v>
      </c>
      <c r="F44" t="s">
        <v>1022</v>
      </c>
    </row>
    <row r="45" spans="1:6" ht="13" x14ac:dyDescent="0.15">
      <c r="A45" t="s">
        <v>260</v>
      </c>
      <c r="B45" t="s">
        <v>261</v>
      </c>
      <c r="C45" t="s">
        <v>262</v>
      </c>
      <c r="D45" s="79" t="s">
        <v>89</v>
      </c>
      <c r="E45" t="s">
        <v>55</v>
      </c>
      <c r="F45" t="s">
        <v>1023</v>
      </c>
    </row>
    <row r="46" spans="1:6" ht="13" x14ac:dyDescent="0.15">
      <c r="A46" t="s">
        <v>1036</v>
      </c>
      <c r="B46" t="s">
        <v>264</v>
      </c>
      <c r="C46" t="s">
        <v>265</v>
      </c>
      <c r="D46" s="79" t="s">
        <v>127</v>
      </c>
      <c r="E46" t="s">
        <v>55</v>
      </c>
      <c r="F46" t="s">
        <v>1023</v>
      </c>
    </row>
    <row r="47" spans="1:6" ht="13" x14ac:dyDescent="0.15">
      <c r="A47" t="s">
        <v>266</v>
      </c>
      <c r="B47" t="s">
        <v>267</v>
      </c>
      <c r="C47" t="s">
        <v>268</v>
      </c>
      <c r="D47" s="79" t="s">
        <v>89</v>
      </c>
      <c r="E47" t="s">
        <v>53</v>
      </c>
      <c r="F47" t="s">
        <v>54</v>
      </c>
    </row>
    <row r="48" spans="1:6" ht="13" x14ac:dyDescent="0.15">
      <c r="A48" t="s">
        <v>269</v>
      </c>
      <c r="B48" t="s">
        <v>270</v>
      </c>
      <c r="C48" t="s">
        <v>271</v>
      </c>
      <c r="D48" s="79" t="s">
        <v>89</v>
      </c>
      <c r="E48" t="s">
        <v>55</v>
      </c>
      <c r="F48" t="s">
        <v>1023</v>
      </c>
    </row>
    <row r="49" spans="1:6" ht="13" x14ac:dyDescent="0.15">
      <c r="A49" t="s">
        <v>272</v>
      </c>
      <c r="B49" t="s">
        <v>273</v>
      </c>
      <c r="C49" t="s">
        <v>274</v>
      </c>
      <c r="D49" s="79" t="s">
        <v>89</v>
      </c>
      <c r="E49" t="s">
        <v>57</v>
      </c>
      <c r="F49" t="s">
        <v>1026</v>
      </c>
    </row>
    <row r="50" spans="1:6" ht="13" x14ac:dyDescent="0.15">
      <c r="A50" t="s">
        <v>275</v>
      </c>
      <c r="B50" t="s">
        <v>276</v>
      </c>
      <c r="C50" t="s">
        <v>277</v>
      </c>
      <c r="D50" s="79" t="s">
        <v>89</v>
      </c>
      <c r="E50" t="s">
        <v>59</v>
      </c>
      <c r="F50" t="s">
        <v>1022</v>
      </c>
    </row>
    <row r="51" spans="1:6" ht="13" x14ac:dyDescent="0.15">
      <c r="A51" t="s">
        <v>1037</v>
      </c>
      <c r="B51" t="s">
        <v>279</v>
      </c>
      <c r="C51" t="s">
        <v>280</v>
      </c>
      <c r="D51" s="79" t="s">
        <v>127</v>
      </c>
      <c r="E51" t="s">
        <v>49</v>
      </c>
      <c r="F51" t="s">
        <v>1029</v>
      </c>
    </row>
    <row r="52" spans="1:6" ht="13" x14ac:dyDescent="0.15">
      <c r="A52" t="s">
        <v>1038</v>
      </c>
      <c r="B52" t="s">
        <v>282</v>
      </c>
      <c r="C52" t="s">
        <v>283</v>
      </c>
      <c r="D52" s="79" t="s">
        <v>127</v>
      </c>
      <c r="E52" t="s">
        <v>49</v>
      </c>
      <c r="F52" t="s">
        <v>1029</v>
      </c>
    </row>
    <row r="53" spans="1:6" ht="13" x14ac:dyDescent="0.15">
      <c r="A53" t="s">
        <v>284</v>
      </c>
      <c r="B53" t="s">
        <v>285</v>
      </c>
      <c r="C53" t="s">
        <v>286</v>
      </c>
      <c r="D53" s="79" t="s">
        <v>89</v>
      </c>
      <c r="E53" t="s">
        <v>53</v>
      </c>
      <c r="F53" t="s">
        <v>54</v>
      </c>
    </row>
    <row r="54" spans="1:6" ht="13" x14ac:dyDescent="0.15">
      <c r="A54" t="s">
        <v>287</v>
      </c>
      <c r="B54" t="s">
        <v>288</v>
      </c>
      <c r="C54" t="s">
        <v>289</v>
      </c>
      <c r="D54" s="79" t="s">
        <v>89</v>
      </c>
      <c r="E54" t="s">
        <v>59</v>
      </c>
      <c r="F54" t="s">
        <v>1022</v>
      </c>
    </row>
    <row r="55" spans="1:6" ht="13" x14ac:dyDescent="0.15">
      <c r="A55" t="s">
        <v>290</v>
      </c>
      <c r="B55" t="s">
        <v>291</v>
      </c>
      <c r="C55" t="s">
        <v>292</v>
      </c>
      <c r="D55" s="79" t="s">
        <v>89</v>
      </c>
      <c r="E55" t="s">
        <v>49</v>
      </c>
      <c r="F55" t="s">
        <v>1029</v>
      </c>
    </row>
    <row r="56" spans="1:6" ht="13" x14ac:dyDescent="0.15">
      <c r="A56" t="s">
        <v>293</v>
      </c>
      <c r="B56" t="s">
        <v>294</v>
      </c>
      <c r="C56" t="s">
        <v>295</v>
      </c>
      <c r="D56" s="79" t="s">
        <v>121</v>
      </c>
      <c r="E56" t="s">
        <v>65</v>
      </c>
      <c r="F56" t="s">
        <v>66</v>
      </c>
    </row>
    <row r="57" spans="1:6" ht="13" x14ac:dyDescent="0.15">
      <c r="A57" t="s">
        <v>296</v>
      </c>
      <c r="B57" t="s">
        <v>297</v>
      </c>
      <c r="C57" t="s">
        <v>298</v>
      </c>
      <c r="D57" s="79" t="s">
        <v>89</v>
      </c>
      <c r="E57" t="s">
        <v>55</v>
      </c>
      <c r="F57" t="s">
        <v>1023</v>
      </c>
    </row>
    <row r="58" spans="1:6" ht="13" x14ac:dyDescent="0.15">
      <c r="A58" t="s">
        <v>1039</v>
      </c>
      <c r="B58" t="s">
        <v>300</v>
      </c>
      <c r="C58" t="s">
        <v>301</v>
      </c>
      <c r="D58" s="79" t="s">
        <v>127</v>
      </c>
      <c r="E58" t="s">
        <v>57</v>
      </c>
      <c r="F58" t="s">
        <v>1026</v>
      </c>
    </row>
    <row r="59" spans="1:6" ht="13" x14ac:dyDescent="0.15">
      <c r="A59" t="s">
        <v>302</v>
      </c>
      <c r="B59" t="s">
        <v>303</v>
      </c>
      <c r="C59" t="s">
        <v>304</v>
      </c>
      <c r="D59" s="79" t="s">
        <v>89</v>
      </c>
      <c r="E59" t="s">
        <v>57</v>
      </c>
      <c r="F59" t="s">
        <v>1026</v>
      </c>
    </row>
    <row r="60" spans="1:6" ht="13" x14ac:dyDescent="0.15">
      <c r="A60" t="s">
        <v>305</v>
      </c>
      <c r="B60" t="s">
        <v>306</v>
      </c>
      <c r="C60" t="s">
        <v>307</v>
      </c>
      <c r="D60" s="79" t="s">
        <v>125</v>
      </c>
      <c r="E60" t="s">
        <v>63</v>
      </c>
      <c r="F60" t="s">
        <v>64</v>
      </c>
    </row>
    <row r="61" spans="1:6" ht="13" x14ac:dyDescent="0.15">
      <c r="A61" t="s">
        <v>308</v>
      </c>
      <c r="B61" t="s">
        <v>309</v>
      </c>
      <c r="C61" t="s">
        <v>310</v>
      </c>
      <c r="D61" s="79" t="s">
        <v>89</v>
      </c>
      <c r="E61" t="s">
        <v>59</v>
      </c>
      <c r="F61" t="s">
        <v>1022</v>
      </c>
    </row>
    <row r="62" spans="1:6" ht="13" x14ac:dyDescent="0.15">
      <c r="A62" t="s">
        <v>311</v>
      </c>
      <c r="B62" t="s">
        <v>312</v>
      </c>
      <c r="C62" t="s">
        <v>313</v>
      </c>
      <c r="D62" s="79" t="s">
        <v>123</v>
      </c>
      <c r="E62" t="s">
        <v>65</v>
      </c>
      <c r="F62" t="s">
        <v>66</v>
      </c>
    </row>
    <row r="63" spans="1:6" ht="13" x14ac:dyDescent="0.15">
      <c r="A63" t="s">
        <v>314</v>
      </c>
      <c r="B63" t="s">
        <v>315</v>
      </c>
      <c r="C63" t="s">
        <v>316</v>
      </c>
      <c r="D63" s="79" t="s">
        <v>127</v>
      </c>
      <c r="E63" t="s">
        <v>49</v>
      </c>
      <c r="F63" t="s">
        <v>1029</v>
      </c>
    </row>
    <row r="64" spans="1:6" ht="13" x14ac:dyDescent="0.15">
      <c r="A64" t="s">
        <v>317</v>
      </c>
      <c r="B64" t="s">
        <v>318</v>
      </c>
      <c r="C64" t="s">
        <v>319</v>
      </c>
      <c r="D64" s="79" t="s">
        <v>89</v>
      </c>
      <c r="E64" t="s">
        <v>55</v>
      </c>
      <c r="F64" t="s">
        <v>1023</v>
      </c>
    </row>
    <row r="65" spans="1:6" ht="13" x14ac:dyDescent="0.15">
      <c r="A65" t="s">
        <v>1040</v>
      </c>
      <c r="B65" t="s">
        <v>321</v>
      </c>
      <c r="C65" t="s">
        <v>322</v>
      </c>
      <c r="D65" s="79" t="s">
        <v>127</v>
      </c>
      <c r="E65" t="s">
        <v>51</v>
      </c>
      <c r="F65" t="s">
        <v>1041</v>
      </c>
    </row>
    <row r="66" spans="1:6" ht="13" x14ac:dyDescent="0.15">
      <c r="A66" t="s">
        <v>323</v>
      </c>
      <c r="B66" t="s">
        <v>324</v>
      </c>
      <c r="C66" t="s">
        <v>325</v>
      </c>
      <c r="D66" s="79" t="s">
        <v>89</v>
      </c>
      <c r="E66" t="s">
        <v>59</v>
      </c>
      <c r="F66" t="s">
        <v>1022</v>
      </c>
    </row>
    <row r="67" spans="1:6" ht="13" x14ac:dyDescent="0.15">
      <c r="A67" t="s">
        <v>1042</v>
      </c>
      <c r="B67" t="s">
        <v>327</v>
      </c>
      <c r="C67" t="s">
        <v>328</v>
      </c>
      <c r="D67" s="79" t="s">
        <v>127</v>
      </c>
      <c r="E67" t="s">
        <v>53</v>
      </c>
      <c r="F67" t="s">
        <v>54</v>
      </c>
    </row>
    <row r="68" spans="1:6" ht="13" x14ac:dyDescent="0.15">
      <c r="A68" t="s">
        <v>329</v>
      </c>
      <c r="B68" t="s">
        <v>330</v>
      </c>
      <c r="C68" t="s">
        <v>331</v>
      </c>
      <c r="D68" s="79" t="s">
        <v>89</v>
      </c>
      <c r="E68" t="s">
        <v>53</v>
      </c>
      <c r="F68" t="s">
        <v>54</v>
      </c>
    </row>
    <row r="69" spans="1:6" ht="13" x14ac:dyDescent="0.15">
      <c r="A69" t="s">
        <v>332</v>
      </c>
      <c r="B69" t="s">
        <v>333</v>
      </c>
      <c r="C69" t="s">
        <v>334</v>
      </c>
      <c r="D69" s="79" t="s">
        <v>125</v>
      </c>
      <c r="E69" t="s">
        <v>61</v>
      </c>
      <c r="F69" t="s">
        <v>1025</v>
      </c>
    </row>
    <row r="70" spans="1:6" ht="13" x14ac:dyDescent="0.15">
      <c r="A70" t="s">
        <v>335</v>
      </c>
      <c r="B70" t="s">
        <v>336</v>
      </c>
      <c r="C70" t="s">
        <v>337</v>
      </c>
      <c r="D70" s="79" t="s">
        <v>127</v>
      </c>
      <c r="E70" t="s">
        <v>57</v>
      </c>
      <c r="F70" t="s">
        <v>1026</v>
      </c>
    </row>
    <row r="71" spans="1:6" ht="13" x14ac:dyDescent="0.15">
      <c r="A71" t="s">
        <v>338</v>
      </c>
      <c r="B71" t="s">
        <v>339</v>
      </c>
      <c r="C71" t="s">
        <v>340</v>
      </c>
      <c r="D71" s="79" t="s">
        <v>89</v>
      </c>
      <c r="E71" t="s">
        <v>59</v>
      </c>
      <c r="F71" t="s">
        <v>1022</v>
      </c>
    </row>
    <row r="72" spans="1:6" ht="13" x14ac:dyDescent="0.15">
      <c r="A72" t="s">
        <v>341</v>
      </c>
      <c r="B72" t="s">
        <v>342</v>
      </c>
      <c r="C72" t="s">
        <v>343</v>
      </c>
      <c r="D72" s="79" t="s">
        <v>125</v>
      </c>
      <c r="E72" t="s">
        <v>63</v>
      </c>
      <c r="F72" t="s">
        <v>64</v>
      </c>
    </row>
    <row r="73" spans="1:6" ht="13" x14ac:dyDescent="0.15">
      <c r="A73" t="s">
        <v>1043</v>
      </c>
      <c r="B73" t="s">
        <v>345</v>
      </c>
      <c r="C73" t="s">
        <v>346</v>
      </c>
      <c r="D73" s="79" t="s">
        <v>127</v>
      </c>
      <c r="E73" t="s">
        <v>51</v>
      </c>
      <c r="F73" t="s">
        <v>1041</v>
      </c>
    </row>
    <row r="74" spans="1:6" ht="13" x14ac:dyDescent="0.15">
      <c r="A74" t="s">
        <v>347</v>
      </c>
      <c r="B74" t="s">
        <v>348</v>
      </c>
      <c r="C74" t="s">
        <v>349</v>
      </c>
      <c r="D74" s="79" t="s">
        <v>123</v>
      </c>
      <c r="E74" t="s">
        <v>65</v>
      </c>
      <c r="F74" t="s">
        <v>66</v>
      </c>
    </row>
    <row r="75" spans="1:6" ht="13" x14ac:dyDescent="0.15">
      <c r="A75" t="s">
        <v>350</v>
      </c>
      <c r="B75" t="s">
        <v>351</v>
      </c>
      <c r="C75" t="s">
        <v>352</v>
      </c>
      <c r="D75" s="79" t="s">
        <v>89</v>
      </c>
      <c r="E75" t="s">
        <v>55</v>
      </c>
      <c r="F75" t="s">
        <v>1023</v>
      </c>
    </row>
    <row r="76" spans="1:6" ht="13" x14ac:dyDescent="0.15">
      <c r="A76" t="s">
        <v>353</v>
      </c>
      <c r="B76" t="s">
        <v>354</v>
      </c>
      <c r="C76" t="s">
        <v>355</v>
      </c>
      <c r="D76" s="79" t="s">
        <v>89</v>
      </c>
      <c r="E76" t="s">
        <v>57</v>
      </c>
      <c r="F76" t="s">
        <v>1026</v>
      </c>
    </row>
    <row r="77" spans="1:6" ht="13" x14ac:dyDescent="0.15">
      <c r="A77" t="s">
        <v>356</v>
      </c>
      <c r="B77" t="s">
        <v>357</v>
      </c>
      <c r="C77" t="s">
        <v>358</v>
      </c>
      <c r="D77" s="79" t="s">
        <v>89</v>
      </c>
      <c r="E77" t="s">
        <v>59</v>
      </c>
      <c r="F77" t="s">
        <v>1022</v>
      </c>
    </row>
    <row r="78" spans="1:6" ht="13" x14ac:dyDescent="0.15">
      <c r="A78" t="s">
        <v>359</v>
      </c>
      <c r="B78" t="s">
        <v>360</v>
      </c>
      <c r="C78" t="s">
        <v>361</v>
      </c>
      <c r="D78" s="79" t="s">
        <v>89</v>
      </c>
      <c r="E78" t="s">
        <v>55</v>
      </c>
      <c r="F78" t="s">
        <v>1023</v>
      </c>
    </row>
    <row r="79" spans="1:6" ht="13" x14ac:dyDescent="0.15">
      <c r="A79" t="s">
        <v>362</v>
      </c>
      <c r="B79" t="s">
        <v>363</v>
      </c>
      <c r="C79" t="s">
        <v>364</v>
      </c>
      <c r="D79" s="79" t="s">
        <v>89</v>
      </c>
      <c r="E79" t="s">
        <v>53</v>
      </c>
      <c r="F79" t="s">
        <v>54</v>
      </c>
    </row>
    <row r="80" spans="1:6" ht="13" x14ac:dyDescent="0.15">
      <c r="A80" t="s">
        <v>1044</v>
      </c>
      <c r="B80" t="s">
        <v>366</v>
      </c>
      <c r="C80" t="s">
        <v>367</v>
      </c>
      <c r="D80" s="79" t="s">
        <v>127</v>
      </c>
      <c r="E80" t="s">
        <v>61</v>
      </c>
      <c r="F80" t="s">
        <v>1025</v>
      </c>
    </row>
    <row r="81" spans="1:6" ht="13" x14ac:dyDescent="0.15">
      <c r="A81" t="s">
        <v>368</v>
      </c>
      <c r="B81" t="s">
        <v>369</v>
      </c>
      <c r="C81" t="s">
        <v>370</v>
      </c>
      <c r="D81" s="79" t="s">
        <v>89</v>
      </c>
      <c r="E81" t="s">
        <v>63</v>
      </c>
      <c r="F81" t="s">
        <v>64</v>
      </c>
    </row>
    <row r="82" spans="1:6" ht="13" x14ac:dyDescent="0.15">
      <c r="A82" t="s">
        <v>371</v>
      </c>
      <c r="B82" t="s">
        <v>372</v>
      </c>
      <c r="C82" t="s">
        <v>373</v>
      </c>
      <c r="D82" s="79" t="s">
        <v>89</v>
      </c>
      <c r="E82" t="s">
        <v>55</v>
      </c>
      <c r="F82" t="s">
        <v>1023</v>
      </c>
    </row>
    <row r="83" spans="1:6" ht="13" x14ac:dyDescent="0.15">
      <c r="A83" t="s">
        <v>374</v>
      </c>
      <c r="B83" t="s">
        <v>375</v>
      </c>
      <c r="C83" t="s">
        <v>376</v>
      </c>
      <c r="D83" s="79" t="s">
        <v>89</v>
      </c>
      <c r="E83" t="s">
        <v>59</v>
      </c>
      <c r="F83" t="s">
        <v>1022</v>
      </c>
    </row>
    <row r="84" spans="1:6" ht="13" x14ac:dyDescent="0.15">
      <c r="A84" t="s">
        <v>377</v>
      </c>
      <c r="B84" t="s">
        <v>378</v>
      </c>
      <c r="C84" t="s">
        <v>379</v>
      </c>
      <c r="D84" s="79" t="s">
        <v>89</v>
      </c>
      <c r="E84" t="s">
        <v>59</v>
      </c>
      <c r="F84" t="s">
        <v>1022</v>
      </c>
    </row>
    <row r="85" spans="1:6" ht="13" x14ac:dyDescent="0.15">
      <c r="A85" t="s">
        <v>380</v>
      </c>
      <c r="B85" t="s">
        <v>381</v>
      </c>
      <c r="C85" t="s">
        <v>382</v>
      </c>
      <c r="D85" s="79" t="s">
        <v>89</v>
      </c>
      <c r="E85" t="s">
        <v>59</v>
      </c>
      <c r="F85" t="s">
        <v>1022</v>
      </c>
    </row>
    <row r="86" spans="1:6" ht="13" x14ac:dyDescent="0.15">
      <c r="A86" t="s">
        <v>383</v>
      </c>
      <c r="B86" t="s">
        <v>384</v>
      </c>
      <c r="C86" t="s">
        <v>385</v>
      </c>
      <c r="D86" s="79" t="s">
        <v>123</v>
      </c>
      <c r="E86" t="s">
        <v>65</v>
      </c>
      <c r="F86" t="s">
        <v>66</v>
      </c>
    </row>
    <row r="87" spans="1:6" ht="13" x14ac:dyDescent="0.15">
      <c r="A87" t="s">
        <v>386</v>
      </c>
      <c r="B87" t="s">
        <v>387</v>
      </c>
      <c r="C87" t="s">
        <v>388</v>
      </c>
      <c r="D87" s="79" t="s">
        <v>89</v>
      </c>
      <c r="E87" t="s">
        <v>55</v>
      </c>
      <c r="F87" t="s">
        <v>1023</v>
      </c>
    </row>
    <row r="88" spans="1:6" ht="13" x14ac:dyDescent="0.15">
      <c r="A88" t="s">
        <v>1045</v>
      </c>
      <c r="B88" t="s">
        <v>390</v>
      </c>
      <c r="C88" t="s">
        <v>391</v>
      </c>
      <c r="D88" s="79" t="s">
        <v>89</v>
      </c>
      <c r="E88" t="s">
        <v>59</v>
      </c>
      <c r="F88" t="s">
        <v>1022</v>
      </c>
    </row>
    <row r="89" spans="1:6" ht="13" x14ac:dyDescent="0.15">
      <c r="A89" t="s">
        <v>392</v>
      </c>
      <c r="B89" t="s">
        <v>393</v>
      </c>
      <c r="C89" t="s">
        <v>394</v>
      </c>
      <c r="D89" s="79" t="s">
        <v>89</v>
      </c>
      <c r="E89" t="s">
        <v>53</v>
      </c>
      <c r="F89" t="s">
        <v>54</v>
      </c>
    </row>
    <row r="90" spans="1:6" ht="13" x14ac:dyDescent="0.15">
      <c r="A90" t="s">
        <v>395</v>
      </c>
      <c r="B90" t="s">
        <v>396</v>
      </c>
      <c r="C90" t="s">
        <v>397</v>
      </c>
      <c r="D90" s="79" t="s">
        <v>89</v>
      </c>
      <c r="E90" t="s">
        <v>57</v>
      </c>
      <c r="F90" t="s">
        <v>1026</v>
      </c>
    </row>
    <row r="91" spans="1:6" ht="13" x14ac:dyDescent="0.15">
      <c r="A91" t="s">
        <v>398</v>
      </c>
      <c r="B91" t="s">
        <v>399</v>
      </c>
      <c r="C91" t="s">
        <v>400</v>
      </c>
      <c r="D91" s="79" t="s">
        <v>89</v>
      </c>
      <c r="E91" t="s">
        <v>59</v>
      </c>
      <c r="F91" t="s">
        <v>1022</v>
      </c>
    </row>
    <row r="92" spans="1:6" ht="13" x14ac:dyDescent="0.15">
      <c r="A92" t="s">
        <v>401</v>
      </c>
      <c r="B92" t="s">
        <v>402</v>
      </c>
      <c r="C92" t="s">
        <v>403</v>
      </c>
      <c r="D92" s="79" t="s">
        <v>89</v>
      </c>
      <c r="E92" t="s">
        <v>55</v>
      </c>
      <c r="F92" t="s">
        <v>1023</v>
      </c>
    </row>
    <row r="93" spans="1:6" ht="13" x14ac:dyDescent="0.15">
      <c r="A93" t="s">
        <v>404</v>
      </c>
      <c r="B93" t="s">
        <v>405</v>
      </c>
      <c r="C93" t="s">
        <v>406</v>
      </c>
      <c r="D93" s="79" t="s">
        <v>89</v>
      </c>
      <c r="E93" t="s">
        <v>59</v>
      </c>
      <c r="F93" t="s">
        <v>1022</v>
      </c>
    </row>
    <row r="94" spans="1:6" ht="13" x14ac:dyDescent="0.15">
      <c r="A94" t="s">
        <v>407</v>
      </c>
      <c r="B94" t="s">
        <v>408</v>
      </c>
      <c r="C94" t="s">
        <v>409</v>
      </c>
      <c r="D94" s="79" t="s">
        <v>89</v>
      </c>
      <c r="E94" t="s">
        <v>57</v>
      </c>
      <c r="F94" t="s">
        <v>1026</v>
      </c>
    </row>
    <row r="95" spans="1:6" ht="13" x14ac:dyDescent="0.15">
      <c r="A95" t="s">
        <v>410</v>
      </c>
      <c r="B95" t="s">
        <v>411</v>
      </c>
      <c r="C95" t="s">
        <v>412</v>
      </c>
      <c r="D95" s="79" t="s">
        <v>89</v>
      </c>
      <c r="E95" t="s">
        <v>49</v>
      </c>
      <c r="F95" t="s">
        <v>1029</v>
      </c>
    </row>
    <row r="96" spans="1:6" ht="13" x14ac:dyDescent="0.15">
      <c r="A96" t="s">
        <v>413</v>
      </c>
      <c r="B96" t="s">
        <v>414</v>
      </c>
      <c r="C96" t="s">
        <v>415</v>
      </c>
      <c r="D96" s="79" t="s">
        <v>125</v>
      </c>
      <c r="E96" t="s">
        <v>51</v>
      </c>
      <c r="F96" t="s">
        <v>1041</v>
      </c>
    </row>
    <row r="97" spans="1:6" ht="13" x14ac:dyDescent="0.15">
      <c r="A97" t="s">
        <v>416</v>
      </c>
      <c r="B97" t="s">
        <v>417</v>
      </c>
      <c r="C97" t="s">
        <v>418</v>
      </c>
      <c r="D97" s="79" t="s">
        <v>89</v>
      </c>
      <c r="E97" t="s">
        <v>53</v>
      </c>
      <c r="F97" t="s">
        <v>54</v>
      </c>
    </row>
    <row r="98" spans="1:6" ht="13" x14ac:dyDescent="0.15">
      <c r="A98" t="s">
        <v>419</v>
      </c>
      <c r="B98" t="s">
        <v>420</v>
      </c>
      <c r="C98" t="s">
        <v>421</v>
      </c>
      <c r="D98" s="79" t="s">
        <v>89</v>
      </c>
      <c r="E98" t="s">
        <v>57</v>
      </c>
      <c r="F98" t="s">
        <v>1026</v>
      </c>
    </row>
    <row r="99" spans="1:6" ht="13" x14ac:dyDescent="0.15">
      <c r="A99" t="s">
        <v>422</v>
      </c>
      <c r="B99" t="s">
        <v>423</v>
      </c>
      <c r="C99" t="s">
        <v>424</v>
      </c>
      <c r="D99" s="79" t="s">
        <v>89</v>
      </c>
      <c r="E99" t="s">
        <v>59</v>
      </c>
      <c r="F99" t="s">
        <v>1022</v>
      </c>
    </row>
    <row r="100" spans="1:6" ht="13" x14ac:dyDescent="0.15">
      <c r="A100" t="s">
        <v>425</v>
      </c>
      <c r="B100" t="s">
        <v>426</v>
      </c>
      <c r="C100" t="s">
        <v>427</v>
      </c>
      <c r="D100" s="79" t="s">
        <v>89</v>
      </c>
      <c r="E100" t="s">
        <v>59</v>
      </c>
      <c r="F100" t="s">
        <v>1022</v>
      </c>
    </row>
    <row r="101" spans="1:6" ht="13" x14ac:dyDescent="0.15">
      <c r="A101" t="s">
        <v>428</v>
      </c>
      <c r="B101" t="s">
        <v>429</v>
      </c>
      <c r="C101" t="s">
        <v>430</v>
      </c>
      <c r="D101" s="79" t="s">
        <v>89</v>
      </c>
      <c r="E101" t="s">
        <v>55</v>
      </c>
      <c r="F101" t="s">
        <v>1023</v>
      </c>
    </row>
    <row r="102" spans="1:6" ht="13" x14ac:dyDescent="0.15">
      <c r="A102" t="s">
        <v>431</v>
      </c>
      <c r="B102" t="s">
        <v>432</v>
      </c>
      <c r="C102" t="s">
        <v>433</v>
      </c>
      <c r="D102" s="79" t="s">
        <v>121</v>
      </c>
      <c r="E102" t="s">
        <v>65</v>
      </c>
      <c r="F102" t="s">
        <v>66</v>
      </c>
    </row>
    <row r="103" spans="1:6" ht="13" x14ac:dyDescent="0.15">
      <c r="A103" t="s">
        <v>434</v>
      </c>
      <c r="B103" t="s">
        <v>435</v>
      </c>
      <c r="C103" t="s">
        <v>436</v>
      </c>
      <c r="D103" s="79" t="s">
        <v>89</v>
      </c>
      <c r="E103" t="s">
        <v>59</v>
      </c>
      <c r="F103" t="s">
        <v>1022</v>
      </c>
    </row>
    <row r="104" spans="1:6" ht="13" x14ac:dyDescent="0.15">
      <c r="A104" t="s">
        <v>437</v>
      </c>
      <c r="B104" t="s">
        <v>438</v>
      </c>
      <c r="C104" t="s">
        <v>439</v>
      </c>
      <c r="D104" s="79" t="s">
        <v>121</v>
      </c>
      <c r="E104" t="s">
        <v>65</v>
      </c>
      <c r="F104" t="s">
        <v>66</v>
      </c>
    </row>
    <row r="105" spans="1:6" ht="13" x14ac:dyDescent="0.15">
      <c r="A105" t="s">
        <v>440</v>
      </c>
      <c r="B105" t="s">
        <v>441</v>
      </c>
      <c r="C105" t="s">
        <v>442</v>
      </c>
      <c r="D105" s="79" t="s">
        <v>127</v>
      </c>
      <c r="E105" t="s">
        <v>49</v>
      </c>
      <c r="F105" t="s">
        <v>1029</v>
      </c>
    </row>
    <row r="106" spans="1:6" ht="13" x14ac:dyDescent="0.15">
      <c r="A106" t="s">
        <v>1046</v>
      </c>
      <c r="B106" t="s">
        <v>444</v>
      </c>
      <c r="C106" t="s">
        <v>445</v>
      </c>
      <c r="D106" s="79" t="s">
        <v>121</v>
      </c>
      <c r="E106" t="s">
        <v>65</v>
      </c>
      <c r="F106" t="s">
        <v>66</v>
      </c>
    </row>
    <row r="107" spans="1:6" ht="13" x14ac:dyDescent="0.15">
      <c r="A107" t="s">
        <v>446</v>
      </c>
      <c r="B107" t="s">
        <v>447</v>
      </c>
      <c r="C107" t="s">
        <v>448</v>
      </c>
      <c r="D107" s="79" t="s">
        <v>89</v>
      </c>
      <c r="E107" t="s">
        <v>53</v>
      </c>
      <c r="F107" t="s">
        <v>54</v>
      </c>
    </row>
    <row r="108" spans="1:6" ht="13" x14ac:dyDescent="0.15">
      <c r="A108" t="s">
        <v>449</v>
      </c>
      <c r="B108" t="s">
        <v>450</v>
      </c>
      <c r="C108" t="s">
        <v>451</v>
      </c>
      <c r="D108" s="79" t="s">
        <v>123</v>
      </c>
      <c r="E108" t="s">
        <v>65</v>
      </c>
      <c r="F108" t="s">
        <v>66</v>
      </c>
    </row>
    <row r="109" spans="1:6" ht="13" x14ac:dyDescent="0.15">
      <c r="A109" t="s">
        <v>452</v>
      </c>
      <c r="B109" t="s">
        <v>453</v>
      </c>
      <c r="C109" t="s">
        <v>454</v>
      </c>
      <c r="D109" s="79" t="s">
        <v>89</v>
      </c>
      <c r="E109" t="s">
        <v>55</v>
      </c>
      <c r="F109" t="s">
        <v>1023</v>
      </c>
    </row>
    <row r="110" spans="1:6" ht="13" x14ac:dyDescent="0.15">
      <c r="A110" t="s">
        <v>455</v>
      </c>
      <c r="B110" t="s">
        <v>456</v>
      </c>
      <c r="C110" t="s">
        <v>457</v>
      </c>
      <c r="D110" s="79" t="s">
        <v>123</v>
      </c>
      <c r="E110" t="s">
        <v>65</v>
      </c>
      <c r="F110" t="s">
        <v>66</v>
      </c>
    </row>
    <row r="111" spans="1:6" ht="13" x14ac:dyDescent="0.15">
      <c r="A111" t="s">
        <v>458</v>
      </c>
      <c r="B111" t="s">
        <v>459</v>
      </c>
      <c r="C111" t="s">
        <v>460</v>
      </c>
      <c r="D111" s="79" t="s">
        <v>89</v>
      </c>
      <c r="E111" t="s">
        <v>59</v>
      </c>
      <c r="F111" t="s">
        <v>1022</v>
      </c>
    </row>
    <row r="112" spans="1:6" ht="13" x14ac:dyDescent="0.15">
      <c r="A112" t="s">
        <v>1047</v>
      </c>
      <c r="B112" t="s">
        <v>462</v>
      </c>
      <c r="C112" t="s">
        <v>463</v>
      </c>
      <c r="D112" s="79" t="s">
        <v>127</v>
      </c>
      <c r="E112" t="s">
        <v>51</v>
      </c>
      <c r="F112" t="s">
        <v>1041</v>
      </c>
    </row>
    <row r="113" spans="1:6" ht="13" x14ac:dyDescent="0.15">
      <c r="A113" t="s">
        <v>464</v>
      </c>
      <c r="B113" t="s">
        <v>465</v>
      </c>
      <c r="C113" t="s">
        <v>466</v>
      </c>
      <c r="D113" s="79" t="s">
        <v>89</v>
      </c>
      <c r="E113" t="s">
        <v>59</v>
      </c>
      <c r="F113" t="s">
        <v>1022</v>
      </c>
    </row>
    <row r="114" spans="1:6" ht="13" x14ac:dyDescent="0.15">
      <c r="A114" t="s">
        <v>467</v>
      </c>
      <c r="B114" t="s">
        <v>468</v>
      </c>
      <c r="C114" t="s">
        <v>469</v>
      </c>
      <c r="D114" s="79" t="s">
        <v>89</v>
      </c>
      <c r="E114" t="s">
        <v>59</v>
      </c>
      <c r="F114" t="s">
        <v>1022</v>
      </c>
    </row>
    <row r="115" spans="1:6" ht="13" x14ac:dyDescent="0.15">
      <c r="A115" t="s">
        <v>470</v>
      </c>
      <c r="B115" t="s">
        <v>471</v>
      </c>
      <c r="C115" t="s">
        <v>472</v>
      </c>
      <c r="D115" s="79" t="s">
        <v>123</v>
      </c>
      <c r="E115" t="s">
        <v>65</v>
      </c>
      <c r="F115" t="s">
        <v>66</v>
      </c>
    </row>
    <row r="116" spans="1:6" ht="13" x14ac:dyDescent="0.15">
      <c r="A116" t="s">
        <v>1048</v>
      </c>
      <c r="B116" t="s">
        <v>474</v>
      </c>
      <c r="C116" t="s">
        <v>475</v>
      </c>
      <c r="D116" s="79" t="s">
        <v>127</v>
      </c>
      <c r="E116" t="s">
        <v>63</v>
      </c>
      <c r="F116" t="s">
        <v>64</v>
      </c>
    </row>
    <row r="117" spans="1:6" ht="13" x14ac:dyDescent="0.15">
      <c r="A117" t="s">
        <v>476</v>
      </c>
      <c r="B117" t="s">
        <v>477</v>
      </c>
      <c r="C117" t="s">
        <v>478</v>
      </c>
      <c r="D117" s="79" t="s">
        <v>89</v>
      </c>
      <c r="E117" t="s">
        <v>55</v>
      </c>
      <c r="F117" t="s">
        <v>1023</v>
      </c>
    </row>
    <row r="118" spans="1:6" ht="13" x14ac:dyDescent="0.15">
      <c r="A118" t="s">
        <v>479</v>
      </c>
      <c r="B118" t="s">
        <v>480</v>
      </c>
      <c r="C118" t="s">
        <v>481</v>
      </c>
      <c r="D118" s="79" t="s">
        <v>89</v>
      </c>
      <c r="E118" t="s">
        <v>53</v>
      </c>
      <c r="F118" t="s">
        <v>54</v>
      </c>
    </row>
    <row r="119" spans="1:6" ht="13" x14ac:dyDescent="0.15">
      <c r="A119" t="s">
        <v>482</v>
      </c>
      <c r="B119" t="s">
        <v>483</v>
      </c>
      <c r="C119" t="s">
        <v>484</v>
      </c>
      <c r="D119" s="79" t="s">
        <v>123</v>
      </c>
      <c r="E119" t="s">
        <v>65</v>
      </c>
      <c r="F119" t="s">
        <v>66</v>
      </c>
    </row>
    <row r="120" spans="1:6" ht="13" x14ac:dyDescent="0.15">
      <c r="A120" t="s">
        <v>1049</v>
      </c>
      <c r="B120" t="s">
        <v>486</v>
      </c>
      <c r="C120" t="s">
        <v>487</v>
      </c>
      <c r="D120" s="79" t="s">
        <v>89</v>
      </c>
      <c r="E120" t="s">
        <v>53</v>
      </c>
      <c r="F120" t="s">
        <v>54</v>
      </c>
    </row>
    <row r="121" spans="1:6" ht="13" x14ac:dyDescent="0.15">
      <c r="A121" t="s">
        <v>488</v>
      </c>
      <c r="B121" t="s">
        <v>489</v>
      </c>
      <c r="C121" t="s">
        <v>490</v>
      </c>
      <c r="D121" s="79" t="s">
        <v>89</v>
      </c>
      <c r="E121" t="s">
        <v>59</v>
      </c>
      <c r="F121" t="s">
        <v>1022</v>
      </c>
    </row>
    <row r="122" spans="1:6" ht="13" x14ac:dyDescent="0.15">
      <c r="A122" t="s">
        <v>491</v>
      </c>
      <c r="B122" t="s">
        <v>492</v>
      </c>
      <c r="C122" t="s">
        <v>493</v>
      </c>
      <c r="D122" s="79" t="s">
        <v>123</v>
      </c>
      <c r="E122" t="s">
        <v>65</v>
      </c>
      <c r="F122" t="s">
        <v>66</v>
      </c>
    </row>
    <row r="123" spans="1:6" ht="13" x14ac:dyDescent="0.15">
      <c r="A123" t="s">
        <v>1050</v>
      </c>
      <c r="B123" t="s">
        <v>495</v>
      </c>
      <c r="C123" t="s">
        <v>496</v>
      </c>
      <c r="D123" s="79" t="s">
        <v>89</v>
      </c>
      <c r="E123" t="s">
        <v>55</v>
      </c>
      <c r="F123" t="s">
        <v>1023</v>
      </c>
    </row>
    <row r="124" spans="1:6" ht="13" x14ac:dyDescent="0.15">
      <c r="A124" t="s">
        <v>497</v>
      </c>
      <c r="B124" t="s">
        <v>498</v>
      </c>
      <c r="C124" t="s">
        <v>499</v>
      </c>
      <c r="D124" s="79" t="s">
        <v>89</v>
      </c>
      <c r="E124" t="s">
        <v>49</v>
      </c>
      <c r="F124" t="s">
        <v>1029</v>
      </c>
    </row>
    <row r="125" spans="1:6" ht="13" x14ac:dyDescent="0.15">
      <c r="A125" t="s">
        <v>500</v>
      </c>
      <c r="B125" t="s">
        <v>501</v>
      </c>
      <c r="C125" t="s">
        <v>502</v>
      </c>
      <c r="D125" s="79" t="s">
        <v>89</v>
      </c>
      <c r="E125" t="s">
        <v>55</v>
      </c>
      <c r="F125" t="s">
        <v>1023</v>
      </c>
    </row>
    <row r="126" spans="1:6" ht="13" x14ac:dyDescent="0.15">
      <c r="A126" t="s">
        <v>1051</v>
      </c>
      <c r="B126" t="s">
        <v>504</v>
      </c>
      <c r="C126" t="s">
        <v>505</v>
      </c>
      <c r="D126" s="79" t="s">
        <v>127</v>
      </c>
      <c r="E126" t="s">
        <v>59</v>
      </c>
      <c r="F126" t="s">
        <v>1022</v>
      </c>
    </row>
    <row r="127" spans="1:6" ht="13" x14ac:dyDescent="0.15">
      <c r="A127" t="s">
        <v>506</v>
      </c>
      <c r="B127" t="s">
        <v>507</v>
      </c>
      <c r="C127" t="s">
        <v>508</v>
      </c>
      <c r="D127" s="79" t="s">
        <v>127</v>
      </c>
      <c r="E127" t="s">
        <v>57</v>
      </c>
      <c r="F127" t="s">
        <v>1026</v>
      </c>
    </row>
    <row r="128" spans="1:6" ht="13" x14ac:dyDescent="0.15">
      <c r="A128" t="s">
        <v>509</v>
      </c>
      <c r="B128" t="s">
        <v>510</v>
      </c>
      <c r="C128" t="s">
        <v>511</v>
      </c>
      <c r="D128" s="79" t="s">
        <v>121</v>
      </c>
      <c r="E128" t="s">
        <v>65</v>
      </c>
      <c r="F128" t="s">
        <v>66</v>
      </c>
    </row>
    <row r="129" spans="1:6" ht="13" x14ac:dyDescent="0.15">
      <c r="A129" t="s">
        <v>1052</v>
      </c>
      <c r="B129" t="s">
        <v>513</v>
      </c>
      <c r="C129" t="s">
        <v>514</v>
      </c>
      <c r="D129" s="79" t="s">
        <v>121</v>
      </c>
      <c r="E129" t="s">
        <v>65</v>
      </c>
      <c r="F129" t="s">
        <v>66</v>
      </c>
    </row>
    <row r="130" spans="1:6" ht="13" x14ac:dyDescent="0.15">
      <c r="A130" t="s">
        <v>1053</v>
      </c>
      <c r="B130" t="s">
        <v>516</v>
      </c>
      <c r="C130" t="s">
        <v>517</v>
      </c>
      <c r="D130" s="79" t="s">
        <v>89</v>
      </c>
      <c r="E130" t="s">
        <v>55</v>
      </c>
      <c r="F130" t="s">
        <v>1023</v>
      </c>
    </row>
    <row r="131" spans="1:6" ht="13" x14ac:dyDescent="0.15">
      <c r="A131" t="s">
        <v>1054</v>
      </c>
      <c r="B131" t="s">
        <v>519</v>
      </c>
      <c r="C131" t="s">
        <v>520</v>
      </c>
      <c r="D131" s="79" t="s">
        <v>127</v>
      </c>
      <c r="E131" t="s">
        <v>61</v>
      </c>
      <c r="F131" t="s">
        <v>1025</v>
      </c>
    </row>
    <row r="132" spans="1:6" ht="13" x14ac:dyDescent="0.15">
      <c r="A132" t="s">
        <v>521</v>
      </c>
      <c r="B132" t="s">
        <v>522</v>
      </c>
      <c r="C132" t="s">
        <v>523</v>
      </c>
      <c r="D132" s="79" t="s">
        <v>123</v>
      </c>
      <c r="E132" t="s">
        <v>65</v>
      </c>
      <c r="F132" t="s">
        <v>66</v>
      </c>
    </row>
    <row r="133" spans="1:6" ht="13" x14ac:dyDescent="0.15">
      <c r="A133" t="s">
        <v>524</v>
      </c>
      <c r="B133" t="s">
        <v>525</v>
      </c>
      <c r="C133" t="s">
        <v>526</v>
      </c>
      <c r="D133" s="79" t="s">
        <v>125</v>
      </c>
      <c r="E133" t="s">
        <v>61</v>
      </c>
      <c r="F133" t="s">
        <v>1025</v>
      </c>
    </row>
    <row r="134" spans="1:6" ht="13" x14ac:dyDescent="0.15">
      <c r="A134" t="s">
        <v>527</v>
      </c>
      <c r="B134" t="s">
        <v>528</v>
      </c>
      <c r="C134" t="s">
        <v>529</v>
      </c>
      <c r="D134" s="79" t="s">
        <v>125</v>
      </c>
      <c r="E134" t="s">
        <v>49</v>
      </c>
      <c r="F134" t="s">
        <v>1029</v>
      </c>
    </row>
    <row r="135" spans="1:6" ht="13" x14ac:dyDescent="0.15">
      <c r="A135" t="s">
        <v>530</v>
      </c>
      <c r="B135" t="s">
        <v>531</v>
      </c>
      <c r="C135" t="s">
        <v>532</v>
      </c>
      <c r="D135" s="79" t="s">
        <v>121</v>
      </c>
      <c r="E135" t="s">
        <v>65</v>
      </c>
      <c r="F135" t="s">
        <v>66</v>
      </c>
    </row>
    <row r="136" spans="1:6" ht="13" x14ac:dyDescent="0.15">
      <c r="A136" t="s">
        <v>533</v>
      </c>
      <c r="B136" t="s">
        <v>534</v>
      </c>
      <c r="C136" t="s">
        <v>535</v>
      </c>
      <c r="D136" s="79" t="s">
        <v>89</v>
      </c>
      <c r="E136" t="s">
        <v>49</v>
      </c>
      <c r="F136" t="s">
        <v>1029</v>
      </c>
    </row>
    <row r="137" spans="1:6" ht="13" x14ac:dyDescent="0.15">
      <c r="A137" t="s">
        <v>536</v>
      </c>
      <c r="B137" t="s">
        <v>537</v>
      </c>
      <c r="C137" t="s">
        <v>538</v>
      </c>
      <c r="D137" s="79" t="s">
        <v>125</v>
      </c>
      <c r="E137" t="s">
        <v>61</v>
      </c>
      <c r="F137" t="s">
        <v>1025</v>
      </c>
    </row>
    <row r="138" spans="1:6" ht="13" x14ac:dyDescent="0.15">
      <c r="A138" t="s">
        <v>1055</v>
      </c>
      <c r="B138" t="s">
        <v>540</v>
      </c>
      <c r="C138" t="s">
        <v>541</v>
      </c>
      <c r="D138" s="79" t="s">
        <v>127</v>
      </c>
      <c r="E138" t="s">
        <v>53</v>
      </c>
      <c r="F138" t="s">
        <v>54</v>
      </c>
    </row>
    <row r="139" spans="1:6" ht="13" x14ac:dyDescent="0.15">
      <c r="A139" t="s">
        <v>542</v>
      </c>
      <c r="B139" t="s">
        <v>543</v>
      </c>
      <c r="C139" t="s">
        <v>544</v>
      </c>
      <c r="D139" s="79" t="s">
        <v>89</v>
      </c>
      <c r="E139" t="s">
        <v>59</v>
      </c>
      <c r="F139" t="s">
        <v>1022</v>
      </c>
    </row>
    <row r="140" spans="1:6" ht="13" x14ac:dyDescent="0.15">
      <c r="A140" t="s">
        <v>545</v>
      </c>
      <c r="B140" t="s">
        <v>546</v>
      </c>
      <c r="C140" t="s">
        <v>547</v>
      </c>
      <c r="D140" s="79" t="s">
        <v>121</v>
      </c>
      <c r="E140" t="s">
        <v>65</v>
      </c>
      <c r="F140" t="s">
        <v>66</v>
      </c>
    </row>
    <row r="141" spans="1:6" ht="13" x14ac:dyDescent="0.15">
      <c r="A141" t="s">
        <v>548</v>
      </c>
      <c r="B141" t="s">
        <v>549</v>
      </c>
      <c r="C141" t="s">
        <v>550</v>
      </c>
      <c r="D141" s="79" t="s">
        <v>89</v>
      </c>
      <c r="E141" t="s">
        <v>63</v>
      </c>
      <c r="F141" t="s">
        <v>64</v>
      </c>
    </row>
    <row r="142" spans="1:6" ht="13" x14ac:dyDescent="0.15">
      <c r="A142" t="s">
        <v>551</v>
      </c>
      <c r="B142" t="s">
        <v>552</v>
      </c>
      <c r="C142" t="s">
        <v>553</v>
      </c>
      <c r="D142" s="79" t="s">
        <v>89</v>
      </c>
      <c r="E142" t="s">
        <v>53</v>
      </c>
      <c r="F142" t="s">
        <v>54</v>
      </c>
    </row>
    <row r="143" spans="1:6" ht="13" x14ac:dyDescent="0.15">
      <c r="A143" t="s">
        <v>554</v>
      </c>
      <c r="B143" t="s">
        <v>555</v>
      </c>
      <c r="C143" t="s">
        <v>556</v>
      </c>
      <c r="D143" s="79" t="s">
        <v>125</v>
      </c>
      <c r="E143" t="s">
        <v>49</v>
      </c>
      <c r="F143" t="s">
        <v>1029</v>
      </c>
    </row>
    <row r="144" spans="1:6" ht="13" x14ac:dyDescent="0.15">
      <c r="A144" t="s">
        <v>1056</v>
      </c>
      <c r="B144" t="s">
        <v>558</v>
      </c>
      <c r="C144" t="s">
        <v>559</v>
      </c>
      <c r="D144" s="79" t="s">
        <v>127</v>
      </c>
      <c r="E144" t="s">
        <v>55</v>
      </c>
      <c r="F144" t="s">
        <v>1023</v>
      </c>
    </row>
    <row r="145" spans="1:6" ht="13" x14ac:dyDescent="0.15">
      <c r="A145" t="s">
        <v>560</v>
      </c>
      <c r="B145" t="s">
        <v>561</v>
      </c>
      <c r="C145" t="s">
        <v>562</v>
      </c>
      <c r="D145" s="79" t="s">
        <v>89</v>
      </c>
      <c r="E145" t="s">
        <v>59</v>
      </c>
      <c r="F145" t="s">
        <v>1022</v>
      </c>
    </row>
    <row r="146" spans="1:6" ht="13" x14ac:dyDescent="0.15">
      <c r="A146" t="s">
        <v>563</v>
      </c>
      <c r="B146" t="s">
        <v>564</v>
      </c>
      <c r="C146" t="s">
        <v>565</v>
      </c>
      <c r="D146" s="79" t="s">
        <v>89</v>
      </c>
      <c r="E146" t="s">
        <v>55</v>
      </c>
      <c r="F146" t="s">
        <v>1023</v>
      </c>
    </row>
    <row r="147" spans="1:6" ht="13" x14ac:dyDescent="0.15">
      <c r="A147" t="s">
        <v>1057</v>
      </c>
      <c r="B147" t="s">
        <v>567</v>
      </c>
      <c r="C147" t="s">
        <v>568</v>
      </c>
      <c r="D147" s="79" t="s">
        <v>89</v>
      </c>
      <c r="E147" t="s">
        <v>63</v>
      </c>
      <c r="F147" t="s">
        <v>64</v>
      </c>
    </row>
    <row r="148" spans="1:6" ht="13" x14ac:dyDescent="0.15">
      <c r="A148" t="s">
        <v>569</v>
      </c>
      <c r="B148" t="s">
        <v>570</v>
      </c>
      <c r="C148" t="s">
        <v>571</v>
      </c>
      <c r="D148" s="79" t="s">
        <v>125</v>
      </c>
      <c r="E148" t="s">
        <v>49</v>
      </c>
      <c r="F148" t="s">
        <v>1029</v>
      </c>
    </row>
    <row r="149" spans="1:6" ht="13" x14ac:dyDescent="0.15">
      <c r="A149" t="s">
        <v>572</v>
      </c>
      <c r="B149" t="s">
        <v>573</v>
      </c>
      <c r="C149" t="s">
        <v>574</v>
      </c>
      <c r="D149" s="79" t="s">
        <v>89</v>
      </c>
      <c r="E149" t="s">
        <v>53</v>
      </c>
      <c r="F149" t="s">
        <v>54</v>
      </c>
    </row>
    <row r="150" spans="1:6" ht="13" x14ac:dyDescent="0.15">
      <c r="A150" t="s">
        <v>1058</v>
      </c>
      <c r="B150" t="s">
        <v>576</v>
      </c>
      <c r="C150" t="s">
        <v>577</v>
      </c>
      <c r="D150" s="79" t="s">
        <v>127</v>
      </c>
      <c r="E150" t="s">
        <v>59</v>
      </c>
      <c r="F150" t="s">
        <v>1022</v>
      </c>
    </row>
    <row r="151" spans="1:6" ht="13" x14ac:dyDescent="0.15">
      <c r="A151" t="s">
        <v>578</v>
      </c>
      <c r="B151" t="s">
        <v>579</v>
      </c>
      <c r="C151" t="s">
        <v>580</v>
      </c>
      <c r="D151" s="79" t="s">
        <v>89</v>
      </c>
      <c r="E151" t="s">
        <v>53</v>
      </c>
      <c r="F151" t="s">
        <v>54</v>
      </c>
    </row>
    <row r="152" spans="1:6" ht="13" x14ac:dyDescent="0.15">
      <c r="A152" t="s">
        <v>581</v>
      </c>
      <c r="B152" t="s">
        <v>582</v>
      </c>
      <c r="C152" t="s">
        <v>583</v>
      </c>
      <c r="D152" s="79" t="s">
        <v>123</v>
      </c>
      <c r="E152" t="s">
        <v>65</v>
      </c>
      <c r="F152" t="s">
        <v>66</v>
      </c>
    </row>
    <row r="153" spans="1:6" ht="13" x14ac:dyDescent="0.15">
      <c r="A153" t="s">
        <v>584</v>
      </c>
      <c r="B153" t="s">
        <v>585</v>
      </c>
      <c r="C153" t="s">
        <v>586</v>
      </c>
      <c r="D153" s="79" t="s">
        <v>89</v>
      </c>
      <c r="E153" t="s">
        <v>57</v>
      </c>
      <c r="F153" t="s">
        <v>1026</v>
      </c>
    </row>
    <row r="154" spans="1:6" ht="13" x14ac:dyDescent="0.15">
      <c r="A154" t="s">
        <v>587</v>
      </c>
      <c r="B154" t="s">
        <v>588</v>
      </c>
      <c r="C154" t="s">
        <v>589</v>
      </c>
      <c r="D154" s="79" t="s">
        <v>89</v>
      </c>
      <c r="E154" t="s">
        <v>55</v>
      </c>
      <c r="F154" t="s">
        <v>1023</v>
      </c>
    </row>
    <row r="155" spans="1:6" ht="13" x14ac:dyDescent="0.15">
      <c r="A155" t="s">
        <v>590</v>
      </c>
      <c r="B155" t="s">
        <v>591</v>
      </c>
      <c r="C155" t="s">
        <v>592</v>
      </c>
      <c r="D155" s="79" t="s">
        <v>89</v>
      </c>
      <c r="E155" t="s">
        <v>59</v>
      </c>
      <c r="F155" t="s">
        <v>1022</v>
      </c>
    </row>
    <row r="156" spans="1:6" ht="13" x14ac:dyDescent="0.15">
      <c r="A156" t="s">
        <v>1059</v>
      </c>
      <c r="B156" t="s">
        <v>594</v>
      </c>
      <c r="C156" t="s">
        <v>595</v>
      </c>
      <c r="D156" s="79" t="s">
        <v>127</v>
      </c>
      <c r="E156" t="s">
        <v>51</v>
      </c>
      <c r="F156" t="s">
        <v>1041</v>
      </c>
    </row>
    <row r="157" spans="1:6" ht="13" x14ac:dyDescent="0.15">
      <c r="A157" t="s">
        <v>1060</v>
      </c>
      <c r="B157" t="s">
        <v>597</v>
      </c>
      <c r="C157" t="s">
        <v>598</v>
      </c>
      <c r="D157" s="79" t="s">
        <v>127</v>
      </c>
      <c r="E157" t="s">
        <v>59</v>
      </c>
      <c r="F157" t="s">
        <v>1022</v>
      </c>
    </row>
    <row r="158" spans="1:6" ht="13" x14ac:dyDescent="0.15">
      <c r="A158" t="s">
        <v>599</v>
      </c>
      <c r="B158" t="s">
        <v>600</v>
      </c>
      <c r="C158" t="s">
        <v>601</v>
      </c>
      <c r="D158" s="79" t="s">
        <v>89</v>
      </c>
      <c r="E158" t="s">
        <v>59</v>
      </c>
      <c r="F158" t="s">
        <v>1022</v>
      </c>
    </row>
    <row r="159" spans="1:6" ht="13" x14ac:dyDescent="0.15">
      <c r="A159" t="s">
        <v>602</v>
      </c>
      <c r="B159" t="s">
        <v>603</v>
      </c>
      <c r="C159" t="s">
        <v>604</v>
      </c>
      <c r="D159" s="79" t="s">
        <v>89</v>
      </c>
      <c r="E159" t="s">
        <v>59</v>
      </c>
      <c r="F159" t="s">
        <v>1022</v>
      </c>
    </row>
    <row r="160" spans="1:6" ht="13" x14ac:dyDescent="0.15">
      <c r="A160" t="s">
        <v>1061</v>
      </c>
      <c r="B160" t="s">
        <v>606</v>
      </c>
      <c r="C160" t="s">
        <v>607</v>
      </c>
      <c r="D160" s="79" t="s">
        <v>89</v>
      </c>
      <c r="E160" t="s">
        <v>53</v>
      </c>
      <c r="F160" t="s">
        <v>54</v>
      </c>
    </row>
    <row r="161" spans="1:6" ht="13" x14ac:dyDescent="0.15">
      <c r="A161" t="s">
        <v>608</v>
      </c>
      <c r="B161" t="s">
        <v>609</v>
      </c>
      <c r="C161" t="s">
        <v>610</v>
      </c>
      <c r="D161" s="79" t="s">
        <v>125</v>
      </c>
      <c r="E161" t="s">
        <v>51</v>
      </c>
      <c r="F161" t="s">
        <v>1041</v>
      </c>
    </row>
    <row r="162" spans="1:6" ht="13" x14ac:dyDescent="0.15">
      <c r="A162" t="s">
        <v>611</v>
      </c>
      <c r="B162" t="s">
        <v>612</v>
      </c>
      <c r="C162" t="s">
        <v>613</v>
      </c>
      <c r="D162" s="79" t="s">
        <v>89</v>
      </c>
      <c r="E162" t="s">
        <v>63</v>
      </c>
      <c r="F162" t="s">
        <v>64</v>
      </c>
    </row>
    <row r="163" spans="1:6" ht="13" x14ac:dyDescent="0.15">
      <c r="A163" t="s">
        <v>614</v>
      </c>
      <c r="B163" t="s">
        <v>615</v>
      </c>
      <c r="C163" t="s">
        <v>616</v>
      </c>
      <c r="D163" s="79" t="s">
        <v>123</v>
      </c>
      <c r="E163" t="s">
        <v>65</v>
      </c>
      <c r="F163" t="s">
        <v>66</v>
      </c>
    </row>
    <row r="164" spans="1:6" ht="13" x14ac:dyDescent="0.15">
      <c r="A164" t="s">
        <v>617</v>
      </c>
      <c r="B164" t="s">
        <v>618</v>
      </c>
      <c r="C164" t="s">
        <v>619</v>
      </c>
      <c r="D164" s="79" t="s">
        <v>89</v>
      </c>
      <c r="E164" t="s">
        <v>57</v>
      </c>
      <c r="F164" t="s">
        <v>1026</v>
      </c>
    </row>
    <row r="165" spans="1:6" ht="13" x14ac:dyDescent="0.15">
      <c r="A165" t="s">
        <v>620</v>
      </c>
      <c r="B165" t="s">
        <v>621</v>
      </c>
      <c r="C165" t="s">
        <v>622</v>
      </c>
      <c r="D165" s="79" t="s">
        <v>89</v>
      </c>
      <c r="E165" t="s">
        <v>53</v>
      </c>
      <c r="F165" t="s">
        <v>54</v>
      </c>
    </row>
    <row r="166" spans="1:6" ht="13" x14ac:dyDescent="0.15">
      <c r="A166" t="s">
        <v>1062</v>
      </c>
      <c r="B166" t="s">
        <v>624</v>
      </c>
      <c r="C166" t="s">
        <v>625</v>
      </c>
      <c r="D166" s="79" t="s">
        <v>127</v>
      </c>
      <c r="E166" t="s">
        <v>61</v>
      </c>
      <c r="F166" t="s">
        <v>1025</v>
      </c>
    </row>
    <row r="167" spans="1:6" ht="13" x14ac:dyDescent="0.15">
      <c r="A167" t="s">
        <v>626</v>
      </c>
      <c r="B167" t="s">
        <v>627</v>
      </c>
      <c r="C167" t="s">
        <v>628</v>
      </c>
      <c r="D167" s="79" t="s">
        <v>89</v>
      </c>
      <c r="E167" t="s">
        <v>55</v>
      </c>
      <c r="F167" t="s">
        <v>1023</v>
      </c>
    </row>
    <row r="168" spans="1:6" ht="13" x14ac:dyDescent="0.15">
      <c r="A168" t="s">
        <v>629</v>
      </c>
      <c r="B168" t="s">
        <v>630</v>
      </c>
      <c r="C168" t="s">
        <v>631</v>
      </c>
      <c r="D168" s="79" t="s">
        <v>89</v>
      </c>
      <c r="E168" t="s">
        <v>53</v>
      </c>
      <c r="F168" t="s">
        <v>54</v>
      </c>
    </row>
    <row r="169" spans="1:6" ht="13" x14ac:dyDescent="0.15">
      <c r="A169" t="s">
        <v>1063</v>
      </c>
      <c r="B169" t="s">
        <v>633</v>
      </c>
      <c r="C169" t="s">
        <v>634</v>
      </c>
      <c r="D169" s="79" t="s">
        <v>127</v>
      </c>
      <c r="E169" t="s">
        <v>61</v>
      </c>
      <c r="F169" t="s">
        <v>1025</v>
      </c>
    </row>
    <row r="170" spans="1:6" ht="13" x14ac:dyDescent="0.15">
      <c r="A170" t="s">
        <v>635</v>
      </c>
      <c r="B170" t="s">
        <v>636</v>
      </c>
      <c r="C170" t="s">
        <v>637</v>
      </c>
      <c r="D170" s="79" t="s">
        <v>89</v>
      </c>
      <c r="E170" t="s">
        <v>55</v>
      </c>
      <c r="F170" t="s">
        <v>1023</v>
      </c>
    </row>
    <row r="171" spans="1:6" ht="13" x14ac:dyDescent="0.15">
      <c r="A171" t="s">
        <v>638</v>
      </c>
      <c r="B171" t="s">
        <v>639</v>
      </c>
      <c r="C171" t="s">
        <v>640</v>
      </c>
      <c r="D171" s="79" t="s">
        <v>127</v>
      </c>
      <c r="E171" t="s">
        <v>53</v>
      </c>
      <c r="F171" t="s">
        <v>54</v>
      </c>
    </row>
    <row r="172" spans="1:6" ht="13" x14ac:dyDescent="0.15">
      <c r="A172" t="s">
        <v>1064</v>
      </c>
      <c r="B172" t="s">
        <v>642</v>
      </c>
      <c r="C172" t="s">
        <v>643</v>
      </c>
      <c r="D172" s="79" t="s">
        <v>127</v>
      </c>
      <c r="E172" t="s">
        <v>57</v>
      </c>
      <c r="F172" t="s">
        <v>1026</v>
      </c>
    </row>
    <row r="173" spans="1:6" ht="13" x14ac:dyDescent="0.15">
      <c r="A173" t="s">
        <v>644</v>
      </c>
      <c r="B173" t="s">
        <v>645</v>
      </c>
      <c r="C173" t="s">
        <v>646</v>
      </c>
      <c r="D173" s="79" t="s">
        <v>125</v>
      </c>
      <c r="E173" t="s">
        <v>51</v>
      </c>
      <c r="F173" t="s">
        <v>1041</v>
      </c>
    </row>
    <row r="174" spans="1:6" ht="13" x14ac:dyDescent="0.15">
      <c r="A174" t="s">
        <v>647</v>
      </c>
      <c r="B174" t="s">
        <v>648</v>
      </c>
      <c r="C174" t="s">
        <v>649</v>
      </c>
      <c r="D174" s="79" t="s">
        <v>89</v>
      </c>
      <c r="E174" t="s">
        <v>63</v>
      </c>
      <c r="F174" t="s">
        <v>64</v>
      </c>
    </row>
    <row r="175" spans="1:6" ht="13" x14ac:dyDescent="0.15">
      <c r="A175" t="s">
        <v>650</v>
      </c>
      <c r="B175" t="s">
        <v>651</v>
      </c>
      <c r="C175" t="s">
        <v>652</v>
      </c>
      <c r="D175" s="79" t="s">
        <v>89</v>
      </c>
      <c r="E175" t="s">
        <v>53</v>
      </c>
      <c r="F175" t="s">
        <v>54</v>
      </c>
    </row>
    <row r="176" spans="1:6" ht="13" x14ac:dyDescent="0.15">
      <c r="A176" t="s">
        <v>653</v>
      </c>
      <c r="B176" t="s">
        <v>654</v>
      </c>
      <c r="C176" t="s">
        <v>655</v>
      </c>
      <c r="D176" s="79" t="s">
        <v>127</v>
      </c>
      <c r="E176" t="s">
        <v>61</v>
      </c>
      <c r="F176" t="s">
        <v>1025</v>
      </c>
    </row>
    <row r="177" spans="1:6" ht="13" x14ac:dyDescent="0.15">
      <c r="A177" t="s">
        <v>1065</v>
      </c>
      <c r="B177" t="s">
        <v>657</v>
      </c>
      <c r="C177" t="s">
        <v>658</v>
      </c>
      <c r="D177" s="79" t="s">
        <v>127</v>
      </c>
      <c r="E177" t="s">
        <v>51</v>
      </c>
      <c r="F177" t="s">
        <v>1041</v>
      </c>
    </row>
    <row r="178" spans="1:6" ht="13" x14ac:dyDescent="0.15">
      <c r="A178" t="s">
        <v>659</v>
      </c>
      <c r="B178" t="s">
        <v>660</v>
      </c>
      <c r="C178" t="s">
        <v>661</v>
      </c>
      <c r="D178" s="79" t="s">
        <v>89</v>
      </c>
      <c r="E178" t="s">
        <v>55</v>
      </c>
      <c r="F178" t="s">
        <v>1023</v>
      </c>
    </row>
    <row r="179" spans="1:6" ht="13" x14ac:dyDescent="0.15">
      <c r="A179" t="s">
        <v>1066</v>
      </c>
      <c r="B179" t="s">
        <v>663</v>
      </c>
      <c r="C179" t="s">
        <v>664</v>
      </c>
      <c r="D179" s="79" t="s">
        <v>127</v>
      </c>
      <c r="E179" t="s">
        <v>53</v>
      </c>
      <c r="F179" t="s">
        <v>54</v>
      </c>
    </row>
    <row r="180" spans="1:6" ht="13" x14ac:dyDescent="0.15">
      <c r="A180" t="s">
        <v>1067</v>
      </c>
      <c r="B180" t="s">
        <v>666</v>
      </c>
      <c r="C180" t="s">
        <v>667</v>
      </c>
      <c r="D180" s="79" t="s">
        <v>89</v>
      </c>
      <c r="E180" t="s">
        <v>63</v>
      </c>
      <c r="F180" t="s">
        <v>64</v>
      </c>
    </row>
    <row r="181" spans="1:6" ht="13" x14ac:dyDescent="0.15">
      <c r="A181" t="s">
        <v>1068</v>
      </c>
      <c r="B181" t="s">
        <v>669</v>
      </c>
      <c r="C181" t="s">
        <v>670</v>
      </c>
      <c r="D181" s="79" t="s">
        <v>89</v>
      </c>
      <c r="E181" t="s">
        <v>53</v>
      </c>
      <c r="F181" t="s">
        <v>54</v>
      </c>
    </row>
    <row r="182" spans="1:6" ht="13" x14ac:dyDescent="0.15">
      <c r="A182" t="s">
        <v>671</v>
      </c>
      <c r="B182" t="s">
        <v>672</v>
      </c>
      <c r="C182" t="s">
        <v>673</v>
      </c>
      <c r="D182" s="79" t="s">
        <v>125</v>
      </c>
      <c r="E182" t="s">
        <v>49</v>
      </c>
      <c r="F182" t="s">
        <v>1029</v>
      </c>
    </row>
    <row r="183" spans="1:6" ht="13" x14ac:dyDescent="0.15">
      <c r="A183" t="s">
        <v>674</v>
      </c>
      <c r="B183" t="s">
        <v>675</v>
      </c>
      <c r="C183" t="s">
        <v>676</v>
      </c>
      <c r="D183" s="79" t="s">
        <v>89</v>
      </c>
      <c r="E183" t="s">
        <v>59</v>
      </c>
      <c r="F183" t="s">
        <v>1022</v>
      </c>
    </row>
    <row r="184" spans="1:6" ht="13" x14ac:dyDescent="0.15">
      <c r="A184" t="s">
        <v>677</v>
      </c>
      <c r="B184" t="s">
        <v>678</v>
      </c>
      <c r="C184" t="s">
        <v>679</v>
      </c>
      <c r="D184" s="79" t="s">
        <v>89</v>
      </c>
      <c r="E184" t="s">
        <v>49</v>
      </c>
      <c r="F184" t="s">
        <v>1029</v>
      </c>
    </row>
    <row r="185" spans="1:6" ht="13" x14ac:dyDescent="0.15">
      <c r="A185" t="s">
        <v>1069</v>
      </c>
      <c r="B185" t="s">
        <v>681</v>
      </c>
      <c r="C185" t="s">
        <v>682</v>
      </c>
      <c r="D185" s="79" t="s">
        <v>127</v>
      </c>
      <c r="E185" t="s">
        <v>55</v>
      </c>
      <c r="F185" t="s">
        <v>1023</v>
      </c>
    </row>
    <row r="186" spans="1:6" ht="13" x14ac:dyDescent="0.15">
      <c r="A186" t="s">
        <v>1070</v>
      </c>
      <c r="B186" t="s">
        <v>684</v>
      </c>
      <c r="C186" t="s">
        <v>685</v>
      </c>
      <c r="D186" s="79" t="s">
        <v>127</v>
      </c>
      <c r="E186" t="s">
        <v>57</v>
      </c>
      <c r="F186" t="s">
        <v>1026</v>
      </c>
    </row>
    <row r="187" spans="1:6" ht="13" x14ac:dyDescent="0.15">
      <c r="A187" t="s">
        <v>1071</v>
      </c>
      <c r="B187" t="s">
        <v>687</v>
      </c>
      <c r="C187" t="s">
        <v>688</v>
      </c>
      <c r="D187" s="79" t="s">
        <v>127</v>
      </c>
      <c r="E187" t="s">
        <v>59</v>
      </c>
      <c r="F187" t="s">
        <v>1022</v>
      </c>
    </row>
    <row r="188" spans="1:6" ht="13" x14ac:dyDescent="0.15">
      <c r="A188" t="s">
        <v>689</v>
      </c>
      <c r="B188" t="s">
        <v>690</v>
      </c>
      <c r="C188" t="s">
        <v>691</v>
      </c>
      <c r="D188" s="79" t="s">
        <v>89</v>
      </c>
      <c r="E188" t="s">
        <v>49</v>
      </c>
      <c r="F188" t="s">
        <v>1029</v>
      </c>
    </row>
    <row r="189" spans="1:6" ht="13" x14ac:dyDescent="0.15">
      <c r="A189" t="s">
        <v>1072</v>
      </c>
      <c r="B189" t="s">
        <v>693</v>
      </c>
      <c r="C189" t="s">
        <v>694</v>
      </c>
      <c r="D189" s="79" t="s">
        <v>127</v>
      </c>
      <c r="E189" t="s">
        <v>59</v>
      </c>
      <c r="F189" t="s">
        <v>1022</v>
      </c>
    </row>
    <row r="190" spans="1:6" ht="13" x14ac:dyDescent="0.15">
      <c r="A190" t="s">
        <v>695</v>
      </c>
      <c r="B190" t="s">
        <v>696</v>
      </c>
      <c r="C190" t="s">
        <v>697</v>
      </c>
      <c r="D190" s="79" t="s">
        <v>123</v>
      </c>
      <c r="E190" t="s">
        <v>65</v>
      </c>
      <c r="F190" t="s">
        <v>66</v>
      </c>
    </row>
    <row r="191" spans="1:6" ht="13" x14ac:dyDescent="0.15">
      <c r="A191" t="s">
        <v>1073</v>
      </c>
      <c r="B191" t="s">
        <v>699</v>
      </c>
      <c r="C191" t="s">
        <v>700</v>
      </c>
      <c r="D191" s="79" t="s">
        <v>127</v>
      </c>
      <c r="E191" t="s">
        <v>51</v>
      </c>
      <c r="F191" t="s">
        <v>1041</v>
      </c>
    </row>
    <row r="192" spans="1:6" ht="13" x14ac:dyDescent="0.15">
      <c r="A192" t="s">
        <v>701</v>
      </c>
      <c r="B192" t="s">
        <v>702</v>
      </c>
      <c r="C192" t="s">
        <v>703</v>
      </c>
      <c r="D192" s="79" t="s">
        <v>89</v>
      </c>
      <c r="E192" t="s">
        <v>63</v>
      </c>
      <c r="F192" t="s">
        <v>64</v>
      </c>
    </row>
    <row r="193" spans="1:6" ht="13" x14ac:dyDescent="0.15">
      <c r="A193" t="s">
        <v>1074</v>
      </c>
      <c r="B193" t="s">
        <v>705</v>
      </c>
      <c r="C193" t="s">
        <v>706</v>
      </c>
      <c r="D193" s="79" t="s">
        <v>89</v>
      </c>
      <c r="E193" t="s">
        <v>59</v>
      </c>
      <c r="F193" t="s">
        <v>1022</v>
      </c>
    </row>
    <row r="194" spans="1:6" ht="13" x14ac:dyDescent="0.15">
      <c r="A194" t="s">
        <v>707</v>
      </c>
      <c r="B194" t="s">
        <v>708</v>
      </c>
      <c r="C194" t="s">
        <v>709</v>
      </c>
      <c r="D194" s="79" t="s">
        <v>89</v>
      </c>
      <c r="E194" t="s">
        <v>49</v>
      </c>
      <c r="F194" t="s">
        <v>1029</v>
      </c>
    </row>
    <row r="195" spans="1:6" ht="13" x14ac:dyDescent="0.15">
      <c r="A195" t="s">
        <v>710</v>
      </c>
      <c r="B195" t="s">
        <v>711</v>
      </c>
      <c r="C195" t="s">
        <v>712</v>
      </c>
      <c r="D195" s="79" t="s">
        <v>123</v>
      </c>
      <c r="E195" t="s">
        <v>65</v>
      </c>
      <c r="F195" t="s">
        <v>66</v>
      </c>
    </row>
    <row r="196" spans="1:6" ht="13" x14ac:dyDescent="0.15">
      <c r="A196" t="s">
        <v>713</v>
      </c>
      <c r="B196" t="s">
        <v>714</v>
      </c>
      <c r="C196" t="s">
        <v>715</v>
      </c>
      <c r="D196" s="79" t="s">
        <v>125</v>
      </c>
      <c r="E196" t="s">
        <v>49</v>
      </c>
      <c r="F196" t="s">
        <v>1029</v>
      </c>
    </row>
    <row r="197" spans="1:6" ht="13" x14ac:dyDescent="0.15">
      <c r="A197" t="s">
        <v>716</v>
      </c>
      <c r="B197" t="s">
        <v>717</v>
      </c>
      <c r="C197" t="s">
        <v>718</v>
      </c>
      <c r="D197" s="79" t="s">
        <v>89</v>
      </c>
      <c r="E197" t="s">
        <v>55</v>
      </c>
      <c r="F197" t="s">
        <v>1023</v>
      </c>
    </row>
    <row r="198" spans="1:6" ht="13" x14ac:dyDescent="0.15">
      <c r="A198" t="s">
        <v>719</v>
      </c>
      <c r="B198" t="s">
        <v>720</v>
      </c>
      <c r="C198" t="s">
        <v>721</v>
      </c>
      <c r="D198" s="79" t="s">
        <v>89</v>
      </c>
      <c r="E198" t="s">
        <v>49</v>
      </c>
      <c r="F198" t="s">
        <v>1029</v>
      </c>
    </row>
    <row r="199" spans="1:6" ht="13" x14ac:dyDescent="0.15">
      <c r="A199" t="s">
        <v>722</v>
      </c>
      <c r="B199" t="s">
        <v>723</v>
      </c>
      <c r="C199" t="s">
        <v>724</v>
      </c>
      <c r="D199" s="79" t="s">
        <v>89</v>
      </c>
      <c r="E199" t="s">
        <v>59</v>
      </c>
      <c r="F199" t="s">
        <v>1022</v>
      </c>
    </row>
    <row r="200" spans="1:6" ht="13" x14ac:dyDescent="0.15">
      <c r="A200" t="s">
        <v>725</v>
      </c>
      <c r="B200" t="s">
        <v>726</v>
      </c>
      <c r="C200" t="s">
        <v>727</v>
      </c>
      <c r="D200" s="79" t="s">
        <v>125</v>
      </c>
      <c r="E200" t="s">
        <v>61</v>
      </c>
      <c r="F200" t="s">
        <v>1025</v>
      </c>
    </row>
    <row r="201" spans="1:6" ht="13" x14ac:dyDescent="0.15">
      <c r="A201" t="s">
        <v>728</v>
      </c>
      <c r="B201" t="s">
        <v>729</v>
      </c>
      <c r="C201" t="s">
        <v>730</v>
      </c>
      <c r="D201" s="79" t="s">
        <v>89</v>
      </c>
      <c r="E201" t="s">
        <v>63</v>
      </c>
      <c r="F201" t="s">
        <v>64</v>
      </c>
    </row>
    <row r="202" spans="1:6" ht="13" x14ac:dyDescent="0.15">
      <c r="A202" t="s">
        <v>731</v>
      </c>
      <c r="B202" t="s">
        <v>732</v>
      </c>
      <c r="C202" t="s">
        <v>733</v>
      </c>
      <c r="D202" s="79" t="s">
        <v>89</v>
      </c>
      <c r="E202" t="s">
        <v>59</v>
      </c>
      <c r="F202" t="s">
        <v>1022</v>
      </c>
    </row>
    <row r="203" spans="1:6" ht="13" x14ac:dyDescent="0.15">
      <c r="A203" t="s">
        <v>734</v>
      </c>
      <c r="B203" t="s">
        <v>735</v>
      </c>
      <c r="C203" t="s">
        <v>736</v>
      </c>
      <c r="D203" s="79" t="s">
        <v>89</v>
      </c>
      <c r="E203" t="s">
        <v>53</v>
      </c>
      <c r="F203" t="s">
        <v>54</v>
      </c>
    </row>
    <row r="204" spans="1:6" ht="13" x14ac:dyDescent="0.15">
      <c r="A204" t="s">
        <v>737</v>
      </c>
      <c r="B204" t="s">
        <v>738</v>
      </c>
      <c r="C204" t="s">
        <v>739</v>
      </c>
      <c r="D204" s="79" t="s">
        <v>89</v>
      </c>
      <c r="E204" t="s">
        <v>59</v>
      </c>
      <c r="F204" t="s">
        <v>1022</v>
      </c>
    </row>
    <row r="205" spans="1:6" ht="13" x14ac:dyDescent="0.15">
      <c r="A205" t="s">
        <v>1075</v>
      </c>
      <c r="B205" t="s">
        <v>741</v>
      </c>
      <c r="C205" t="s">
        <v>742</v>
      </c>
      <c r="D205" s="79" t="s">
        <v>127</v>
      </c>
      <c r="E205" t="s">
        <v>53</v>
      </c>
      <c r="F205" t="s">
        <v>54</v>
      </c>
    </row>
    <row r="206" spans="1:6" ht="13" x14ac:dyDescent="0.15">
      <c r="A206" t="s">
        <v>743</v>
      </c>
      <c r="B206" t="s">
        <v>744</v>
      </c>
      <c r="C206" t="s">
        <v>745</v>
      </c>
      <c r="D206" s="79" t="s">
        <v>125</v>
      </c>
      <c r="E206" t="s">
        <v>49</v>
      </c>
      <c r="F206" t="s">
        <v>1029</v>
      </c>
    </row>
    <row r="207" spans="1:6" ht="13" x14ac:dyDescent="0.15">
      <c r="A207" t="s">
        <v>746</v>
      </c>
      <c r="B207" t="s">
        <v>747</v>
      </c>
      <c r="C207" t="s">
        <v>748</v>
      </c>
      <c r="D207" s="79" t="s">
        <v>125</v>
      </c>
      <c r="E207" t="s">
        <v>63</v>
      </c>
      <c r="F207" t="s">
        <v>64</v>
      </c>
    </row>
    <row r="208" spans="1:6" ht="13" x14ac:dyDescent="0.15">
      <c r="A208" t="s">
        <v>749</v>
      </c>
      <c r="B208" t="s">
        <v>750</v>
      </c>
      <c r="C208" t="s">
        <v>751</v>
      </c>
      <c r="D208" s="79" t="s">
        <v>125</v>
      </c>
      <c r="E208" t="s">
        <v>49</v>
      </c>
      <c r="F208" t="s">
        <v>1029</v>
      </c>
    </row>
    <row r="209" spans="1:6" ht="13" x14ac:dyDescent="0.15">
      <c r="A209" t="s">
        <v>752</v>
      </c>
      <c r="B209" t="s">
        <v>753</v>
      </c>
      <c r="C209" t="s">
        <v>754</v>
      </c>
      <c r="D209" s="79" t="s">
        <v>89</v>
      </c>
      <c r="E209" t="s">
        <v>59</v>
      </c>
      <c r="F209" t="s">
        <v>1022</v>
      </c>
    </row>
    <row r="210" spans="1:6" ht="13" x14ac:dyDescent="0.15">
      <c r="A210" t="s">
        <v>755</v>
      </c>
      <c r="B210" t="s">
        <v>756</v>
      </c>
      <c r="C210" t="s">
        <v>757</v>
      </c>
      <c r="D210" s="79" t="s">
        <v>125</v>
      </c>
      <c r="E210" t="s">
        <v>61</v>
      </c>
      <c r="F210" t="s">
        <v>1025</v>
      </c>
    </row>
    <row r="211" spans="1:6" ht="13" x14ac:dyDescent="0.15">
      <c r="A211" t="s">
        <v>1076</v>
      </c>
      <c r="B211" t="s">
        <v>759</v>
      </c>
      <c r="C211" t="s">
        <v>760</v>
      </c>
      <c r="D211" s="79" t="s">
        <v>127</v>
      </c>
      <c r="E211" t="s">
        <v>63</v>
      </c>
      <c r="F211" t="s">
        <v>64</v>
      </c>
    </row>
    <row r="212" spans="1:6" ht="13" x14ac:dyDescent="0.15">
      <c r="A212" t="s">
        <v>1077</v>
      </c>
      <c r="B212" t="s">
        <v>762</v>
      </c>
      <c r="C212" t="s">
        <v>763</v>
      </c>
      <c r="D212" s="79" t="s">
        <v>127</v>
      </c>
      <c r="E212" t="s">
        <v>59</v>
      </c>
      <c r="F212" t="s">
        <v>1022</v>
      </c>
    </row>
    <row r="213" spans="1:6" ht="13" x14ac:dyDescent="0.15">
      <c r="A213" t="s">
        <v>764</v>
      </c>
      <c r="B213" t="s">
        <v>765</v>
      </c>
      <c r="C213" t="s">
        <v>766</v>
      </c>
      <c r="D213" s="79" t="s">
        <v>125</v>
      </c>
      <c r="E213" t="s">
        <v>63</v>
      </c>
      <c r="F213" t="s">
        <v>64</v>
      </c>
    </row>
    <row r="214" spans="1:6" ht="13" x14ac:dyDescent="0.15">
      <c r="A214" t="s">
        <v>767</v>
      </c>
      <c r="B214" t="s">
        <v>768</v>
      </c>
      <c r="C214" t="s">
        <v>769</v>
      </c>
      <c r="D214" s="79" t="s">
        <v>127</v>
      </c>
      <c r="E214" t="s">
        <v>57</v>
      </c>
      <c r="F214" t="s">
        <v>1026</v>
      </c>
    </row>
    <row r="215" spans="1:6" ht="13" x14ac:dyDescent="0.15">
      <c r="A215" t="s">
        <v>770</v>
      </c>
      <c r="B215" t="s">
        <v>771</v>
      </c>
      <c r="C215" t="s">
        <v>772</v>
      </c>
      <c r="D215" s="79" t="s">
        <v>89</v>
      </c>
      <c r="E215" t="s">
        <v>55</v>
      </c>
      <c r="F215" t="s">
        <v>1023</v>
      </c>
    </row>
    <row r="216" spans="1:6" ht="13" x14ac:dyDescent="0.15">
      <c r="A216" t="s">
        <v>773</v>
      </c>
      <c r="B216" t="s">
        <v>774</v>
      </c>
      <c r="C216" t="s">
        <v>775</v>
      </c>
      <c r="D216" s="79" t="s">
        <v>89</v>
      </c>
      <c r="E216" t="s">
        <v>53</v>
      </c>
      <c r="F216" t="s">
        <v>54</v>
      </c>
    </row>
    <row r="217" spans="1:6" ht="13" x14ac:dyDescent="0.15">
      <c r="A217" t="s">
        <v>1078</v>
      </c>
      <c r="B217" t="s">
        <v>777</v>
      </c>
      <c r="C217" t="s">
        <v>778</v>
      </c>
      <c r="D217" s="79" t="s">
        <v>127</v>
      </c>
      <c r="E217" t="s">
        <v>57</v>
      </c>
      <c r="F217" t="s">
        <v>1026</v>
      </c>
    </row>
    <row r="218" spans="1:6" ht="13" x14ac:dyDescent="0.15">
      <c r="A218" t="s">
        <v>779</v>
      </c>
      <c r="B218" t="s">
        <v>780</v>
      </c>
      <c r="C218" t="s">
        <v>781</v>
      </c>
      <c r="D218" s="79" t="s">
        <v>89</v>
      </c>
      <c r="E218" t="s">
        <v>57</v>
      </c>
      <c r="F218" t="s">
        <v>1026</v>
      </c>
    </row>
    <row r="219" spans="1:6" ht="13" x14ac:dyDescent="0.15">
      <c r="A219" t="s">
        <v>782</v>
      </c>
      <c r="B219" t="s">
        <v>783</v>
      </c>
      <c r="C219" t="s">
        <v>784</v>
      </c>
      <c r="D219" s="79" t="s">
        <v>89</v>
      </c>
      <c r="E219" t="s">
        <v>53</v>
      </c>
      <c r="F219" t="s">
        <v>54</v>
      </c>
    </row>
    <row r="220" spans="1:6" ht="13" x14ac:dyDescent="0.15">
      <c r="A220" t="s">
        <v>785</v>
      </c>
      <c r="B220" t="s">
        <v>786</v>
      </c>
      <c r="C220" t="s">
        <v>787</v>
      </c>
      <c r="D220" s="79" t="s">
        <v>89</v>
      </c>
      <c r="E220" t="s">
        <v>53</v>
      </c>
      <c r="F220" t="s">
        <v>54</v>
      </c>
    </row>
    <row r="221" spans="1:6" ht="13" x14ac:dyDescent="0.15">
      <c r="A221" t="s">
        <v>788</v>
      </c>
      <c r="B221" t="s">
        <v>789</v>
      </c>
      <c r="C221" t="s">
        <v>790</v>
      </c>
      <c r="D221" s="79" t="s">
        <v>89</v>
      </c>
      <c r="E221" t="s">
        <v>55</v>
      </c>
      <c r="F221" t="s">
        <v>1023</v>
      </c>
    </row>
    <row r="222" spans="1:6" ht="13" x14ac:dyDescent="0.15">
      <c r="A222" t="s">
        <v>791</v>
      </c>
      <c r="B222" t="s">
        <v>792</v>
      </c>
      <c r="C222" t="s">
        <v>793</v>
      </c>
      <c r="D222" s="79" t="s">
        <v>89</v>
      </c>
      <c r="E222" t="s">
        <v>59</v>
      </c>
      <c r="F222" t="s">
        <v>1022</v>
      </c>
    </row>
    <row r="223" spans="1:6" ht="13" x14ac:dyDescent="0.15">
      <c r="A223" t="s">
        <v>794</v>
      </c>
      <c r="B223" t="s">
        <v>795</v>
      </c>
      <c r="C223" t="s">
        <v>796</v>
      </c>
      <c r="D223" s="79" t="s">
        <v>89</v>
      </c>
      <c r="E223" t="s">
        <v>49</v>
      </c>
      <c r="F223" t="s">
        <v>1029</v>
      </c>
    </row>
    <row r="224" spans="1:6" ht="13" x14ac:dyDescent="0.15">
      <c r="A224" t="s">
        <v>797</v>
      </c>
      <c r="B224" t="s">
        <v>798</v>
      </c>
      <c r="C224" t="s">
        <v>799</v>
      </c>
      <c r="D224" s="79" t="s">
        <v>89</v>
      </c>
      <c r="E224" t="s">
        <v>63</v>
      </c>
      <c r="F224" t="s">
        <v>64</v>
      </c>
    </row>
    <row r="225" spans="1:6" ht="13" x14ac:dyDescent="0.15">
      <c r="A225" t="s">
        <v>800</v>
      </c>
      <c r="B225" t="s">
        <v>801</v>
      </c>
      <c r="C225" t="s">
        <v>802</v>
      </c>
      <c r="D225" s="79" t="s">
        <v>125</v>
      </c>
      <c r="E225" t="s">
        <v>51</v>
      </c>
      <c r="F225" t="s">
        <v>1041</v>
      </c>
    </row>
    <row r="226" spans="1:6" ht="13" x14ac:dyDescent="0.15">
      <c r="A226" t="s">
        <v>1079</v>
      </c>
      <c r="B226" t="s">
        <v>804</v>
      </c>
      <c r="C226" t="s">
        <v>805</v>
      </c>
      <c r="D226" s="79" t="s">
        <v>127</v>
      </c>
      <c r="E226" t="s">
        <v>59</v>
      </c>
      <c r="F226" t="s">
        <v>1022</v>
      </c>
    </row>
    <row r="227" spans="1:6" ht="13" x14ac:dyDescent="0.15">
      <c r="A227" t="s">
        <v>1080</v>
      </c>
      <c r="B227" t="s">
        <v>807</v>
      </c>
      <c r="C227" t="s">
        <v>808</v>
      </c>
      <c r="D227" s="79" t="s">
        <v>127</v>
      </c>
      <c r="E227" t="s">
        <v>55</v>
      </c>
      <c r="F227" t="s">
        <v>1023</v>
      </c>
    </row>
    <row r="228" spans="1:6" ht="13" x14ac:dyDescent="0.15">
      <c r="A228" t="s">
        <v>809</v>
      </c>
      <c r="B228" t="s">
        <v>810</v>
      </c>
      <c r="C228" t="s">
        <v>811</v>
      </c>
      <c r="D228" s="79" t="s">
        <v>121</v>
      </c>
      <c r="E228" t="s">
        <v>65</v>
      </c>
      <c r="F228" t="s">
        <v>66</v>
      </c>
    </row>
    <row r="229" spans="1:6" ht="13" x14ac:dyDescent="0.15">
      <c r="A229" t="s">
        <v>812</v>
      </c>
      <c r="B229" t="s">
        <v>813</v>
      </c>
      <c r="C229" t="s">
        <v>814</v>
      </c>
      <c r="D229" s="79" t="s">
        <v>89</v>
      </c>
      <c r="E229" t="s">
        <v>59</v>
      </c>
      <c r="F229" t="s">
        <v>1022</v>
      </c>
    </row>
    <row r="230" spans="1:6" ht="13" x14ac:dyDescent="0.15">
      <c r="A230" t="s">
        <v>815</v>
      </c>
      <c r="B230" t="s">
        <v>816</v>
      </c>
      <c r="C230" t="s">
        <v>817</v>
      </c>
      <c r="D230" s="79" t="s">
        <v>89</v>
      </c>
      <c r="E230" t="s">
        <v>55</v>
      </c>
      <c r="F230" t="s">
        <v>1023</v>
      </c>
    </row>
    <row r="231" spans="1:6" ht="13" x14ac:dyDescent="0.15">
      <c r="A231" t="s">
        <v>818</v>
      </c>
      <c r="B231" t="s">
        <v>819</v>
      </c>
      <c r="C231" t="s">
        <v>820</v>
      </c>
      <c r="D231" s="79" t="s">
        <v>125</v>
      </c>
      <c r="E231" t="s">
        <v>49</v>
      </c>
      <c r="F231" t="s">
        <v>1029</v>
      </c>
    </row>
    <row r="232" spans="1:6" ht="13" x14ac:dyDescent="0.15">
      <c r="A232" t="s">
        <v>821</v>
      </c>
      <c r="B232" t="s">
        <v>822</v>
      </c>
      <c r="C232" t="s">
        <v>823</v>
      </c>
      <c r="D232" s="79" t="s">
        <v>89</v>
      </c>
      <c r="E232" t="s">
        <v>63</v>
      </c>
      <c r="F232" t="s">
        <v>64</v>
      </c>
    </row>
    <row r="233" spans="1:6" ht="13" x14ac:dyDescent="0.15">
      <c r="A233" t="s">
        <v>824</v>
      </c>
      <c r="B233" t="s">
        <v>825</v>
      </c>
      <c r="C233" t="s">
        <v>826</v>
      </c>
      <c r="D233" s="79" t="s">
        <v>89</v>
      </c>
      <c r="E233" t="s">
        <v>63</v>
      </c>
      <c r="F233" t="s">
        <v>64</v>
      </c>
    </row>
    <row r="234" spans="1:6" ht="13" x14ac:dyDescent="0.15">
      <c r="A234" t="s">
        <v>827</v>
      </c>
      <c r="B234" t="s">
        <v>828</v>
      </c>
      <c r="C234" t="s">
        <v>829</v>
      </c>
      <c r="D234" s="79" t="s">
        <v>89</v>
      </c>
      <c r="E234" t="s">
        <v>55</v>
      </c>
      <c r="F234" t="s">
        <v>1023</v>
      </c>
    </row>
    <row r="235" spans="1:6" ht="13" x14ac:dyDescent="0.15">
      <c r="A235" t="s">
        <v>830</v>
      </c>
      <c r="B235" t="s">
        <v>831</v>
      </c>
      <c r="C235" t="s">
        <v>832</v>
      </c>
      <c r="D235" s="79" t="s">
        <v>125</v>
      </c>
      <c r="E235" t="s">
        <v>49</v>
      </c>
      <c r="F235" t="s">
        <v>1029</v>
      </c>
    </row>
    <row r="236" spans="1:6" ht="13" x14ac:dyDescent="0.15">
      <c r="A236" t="s">
        <v>1081</v>
      </c>
      <c r="B236" t="s">
        <v>834</v>
      </c>
      <c r="C236" t="s">
        <v>835</v>
      </c>
      <c r="D236" s="79" t="s">
        <v>127</v>
      </c>
      <c r="E236" t="s">
        <v>51</v>
      </c>
      <c r="F236" t="s">
        <v>1041</v>
      </c>
    </row>
    <row r="237" spans="1:6" ht="13" x14ac:dyDescent="0.15">
      <c r="A237" t="s">
        <v>1082</v>
      </c>
      <c r="B237" t="s">
        <v>837</v>
      </c>
      <c r="C237" t="s">
        <v>838</v>
      </c>
      <c r="D237" s="79" t="s">
        <v>127</v>
      </c>
      <c r="E237" t="s">
        <v>63</v>
      </c>
      <c r="F237" t="s">
        <v>64</v>
      </c>
    </row>
    <row r="238" spans="1:6" ht="13" x14ac:dyDescent="0.15">
      <c r="A238" t="s">
        <v>839</v>
      </c>
      <c r="B238" t="s">
        <v>840</v>
      </c>
      <c r="C238" t="s">
        <v>841</v>
      </c>
      <c r="D238" s="79" t="s">
        <v>89</v>
      </c>
      <c r="E238" t="s">
        <v>63</v>
      </c>
      <c r="F238" t="s">
        <v>64</v>
      </c>
    </row>
    <row r="239" spans="1:6" ht="13" x14ac:dyDescent="0.15">
      <c r="A239" t="s">
        <v>842</v>
      </c>
      <c r="B239" t="s">
        <v>843</v>
      </c>
      <c r="C239" t="s">
        <v>844</v>
      </c>
      <c r="D239" s="79" t="s">
        <v>89</v>
      </c>
      <c r="E239" t="s">
        <v>57</v>
      </c>
      <c r="F239" t="s">
        <v>1026</v>
      </c>
    </row>
    <row r="240" spans="1:6" ht="13" x14ac:dyDescent="0.15">
      <c r="A240" t="s">
        <v>845</v>
      </c>
      <c r="B240" t="s">
        <v>846</v>
      </c>
      <c r="C240" t="s">
        <v>847</v>
      </c>
      <c r="D240" s="79" t="s">
        <v>125</v>
      </c>
      <c r="E240" t="s">
        <v>51</v>
      </c>
      <c r="F240" t="s">
        <v>1041</v>
      </c>
    </row>
    <row r="241" spans="1:6" ht="13" x14ac:dyDescent="0.15">
      <c r="A241" t="s">
        <v>848</v>
      </c>
      <c r="B241" t="s">
        <v>849</v>
      </c>
      <c r="C241" t="s">
        <v>850</v>
      </c>
      <c r="D241" s="79" t="s">
        <v>89</v>
      </c>
      <c r="E241" t="s">
        <v>59</v>
      </c>
      <c r="F241" t="s">
        <v>1022</v>
      </c>
    </row>
    <row r="242" spans="1:6" ht="13" x14ac:dyDescent="0.15">
      <c r="A242" t="s">
        <v>851</v>
      </c>
      <c r="B242" t="s">
        <v>852</v>
      </c>
      <c r="C242" t="s">
        <v>853</v>
      </c>
      <c r="D242" s="79" t="s">
        <v>123</v>
      </c>
      <c r="E242" t="s">
        <v>65</v>
      </c>
      <c r="F242" t="s">
        <v>66</v>
      </c>
    </row>
    <row r="243" spans="1:6" ht="13" x14ac:dyDescent="0.15">
      <c r="A243" t="s">
        <v>854</v>
      </c>
      <c r="B243" t="s">
        <v>855</v>
      </c>
      <c r="C243" t="s">
        <v>856</v>
      </c>
      <c r="D243" s="79" t="s">
        <v>89</v>
      </c>
      <c r="E243" t="s">
        <v>59</v>
      </c>
      <c r="F243" t="s">
        <v>1022</v>
      </c>
    </row>
    <row r="244" spans="1:6" ht="13" x14ac:dyDescent="0.15">
      <c r="A244" t="s">
        <v>1083</v>
      </c>
      <c r="B244" t="s">
        <v>858</v>
      </c>
      <c r="C244" t="s">
        <v>859</v>
      </c>
      <c r="D244" s="79" t="s">
        <v>127</v>
      </c>
      <c r="E244" t="s">
        <v>57</v>
      </c>
      <c r="F244" t="s">
        <v>1026</v>
      </c>
    </row>
    <row r="245" spans="1:6" ht="13" x14ac:dyDescent="0.15">
      <c r="A245" t="s">
        <v>860</v>
      </c>
      <c r="B245" t="s">
        <v>861</v>
      </c>
      <c r="C245" t="s">
        <v>862</v>
      </c>
      <c r="D245" s="79" t="s">
        <v>125</v>
      </c>
      <c r="E245" t="s">
        <v>49</v>
      </c>
      <c r="F245" t="s">
        <v>1029</v>
      </c>
    </row>
    <row r="246" spans="1:6" ht="13" x14ac:dyDescent="0.15">
      <c r="A246" t="s">
        <v>863</v>
      </c>
      <c r="B246" t="s">
        <v>864</v>
      </c>
      <c r="C246" t="s">
        <v>865</v>
      </c>
      <c r="D246" s="79" t="s">
        <v>89</v>
      </c>
      <c r="E246" t="s">
        <v>63</v>
      </c>
      <c r="F246" t="s">
        <v>64</v>
      </c>
    </row>
    <row r="247" spans="1:6" ht="13" x14ac:dyDescent="0.15">
      <c r="A247" t="s">
        <v>866</v>
      </c>
      <c r="B247" t="s">
        <v>867</v>
      </c>
      <c r="C247" t="s">
        <v>868</v>
      </c>
      <c r="D247" s="79" t="s">
        <v>89</v>
      </c>
      <c r="E247" t="s">
        <v>59</v>
      </c>
      <c r="F247" t="s">
        <v>1022</v>
      </c>
    </row>
    <row r="248" spans="1:6" ht="13" x14ac:dyDescent="0.15">
      <c r="A248" t="s">
        <v>869</v>
      </c>
      <c r="B248" t="s">
        <v>870</v>
      </c>
      <c r="C248" t="s">
        <v>871</v>
      </c>
      <c r="D248" s="79" t="s">
        <v>89</v>
      </c>
      <c r="E248" t="s">
        <v>57</v>
      </c>
      <c r="F248" t="s">
        <v>1026</v>
      </c>
    </row>
    <row r="249" spans="1:6" ht="13" x14ac:dyDescent="0.15">
      <c r="A249" t="s">
        <v>1084</v>
      </c>
      <c r="B249" t="s">
        <v>873</v>
      </c>
      <c r="C249" t="s">
        <v>874</v>
      </c>
      <c r="D249" s="79" t="s">
        <v>127</v>
      </c>
      <c r="E249" t="s">
        <v>63</v>
      </c>
      <c r="F249" t="s">
        <v>64</v>
      </c>
    </row>
    <row r="250" spans="1:6" ht="13" x14ac:dyDescent="0.15">
      <c r="A250" t="s">
        <v>875</v>
      </c>
      <c r="B250" t="s">
        <v>876</v>
      </c>
      <c r="C250" t="s">
        <v>877</v>
      </c>
      <c r="D250" s="79" t="s">
        <v>89</v>
      </c>
      <c r="E250" t="s">
        <v>55</v>
      </c>
      <c r="F250" t="s">
        <v>1023</v>
      </c>
    </row>
    <row r="251" spans="1:6" ht="13" x14ac:dyDescent="0.15">
      <c r="A251" t="s">
        <v>878</v>
      </c>
      <c r="B251" t="s">
        <v>879</v>
      </c>
      <c r="C251" t="s">
        <v>880</v>
      </c>
      <c r="D251" s="79" t="s">
        <v>89</v>
      </c>
      <c r="E251" t="s">
        <v>59</v>
      </c>
      <c r="F251" t="s">
        <v>1022</v>
      </c>
    </row>
    <row r="252" spans="1:6" ht="13" x14ac:dyDescent="0.15">
      <c r="A252" t="s">
        <v>881</v>
      </c>
      <c r="B252" t="s">
        <v>882</v>
      </c>
      <c r="C252" t="s">
        <v>883</v>
      </c>
      <c r="D252" s="79" t="s">
        <v>89</v>
      </c>
      <c r="E252" t="s">
        <v>57</v>
      </c>
      <c r="F252" t="s">
        <v>1026</v>
      </c>
    </row>
    <row r="253" spans="1:6" ht="13" x14ac:dyDescent="0.15">
      <c r="A253" t="s">
        <v>884</v>
      </c>
      <c r="B253" t="s">
        <v>885</v>
      </c>
      <c r="C253" t="s">
        <v>886</v>
      </c>
      <c r="D253" s="79" t="s">
        <v>89</v>
      </c>
      <c r="E253" t="s">
        <v>59</v>
      </c>
      <c r="F253" t="s">
        <v>1022</v>
      </c>
    </row>
    <row r="254" spans="1:6" ht="13" x14ac:dyDescent="0.15">
      <c r="A254" t="s">
        <v>887</v>
      </c>
      <c r="B254" t="s">
        <v>888</v>
      </c>
      <c r="C254" t="s">
        <v>889</v>
      </c>
      <c r="D254" s="79" t="s">
        <v>89</v>
      </c>
      <c r="E254" t="s">
        <v>55</v>
      </c>
      <c r="F254" t="s">
        <v>1023</v>
      </c>
    </row>
    <row r="255" spans="1:6" ht="13" x14ac:dyDescent="0.15">
      <c r="A255" t="s">
        <v>1085</v>
      </c>
      <c r="B255" t="s">
        <v>891</v>
      </c>
      <c r="C255" t="s">
        <v>892</v>
      </c>
      <c r="D255" s="79" t="s">
        <v>127</v>
      </c>
      <c r="E255" t="s">
        <v>55</v>
      </c>
      <c r="F255" t="s">
        <v>1023</v>
      </c>
    </row>
    <row r="256" spans="1:6" ht="13" x14ac:dyDescent="0.15">
      <c r="A256" t="s">
        <v>1086</v>
      </c>
      <c r="B256" t="s">
        <v>894</v>
      </c>
      <c r="C256" t="s">
        <v>895</v>
      </c>
      <c r="D256" s="79" t="s">
        <v>89</v>
      </c>
      <c r="E256" t="s">
        <v>59</v>
      </c>
      <c r="F256" t="s">
        <v>1022</v>
      </c>
    </row>
    <row r="257" spans="1:6" ht="13" x14ac:dyDescent="0.15">
      <c r="A257" t="s">
        <v>1087</v>
      </c>
      <c r="B257" t="s">
        <v>897</v>
      </c>
      <c r="C257" t="s">
        <v>898</v>
      </c>
      <c r="D257" s="79" t="s">
        <v>127</v>
      </c>
      <c r="E257" t="s">
        <v>57</v>
      </c>
      <c r="F257" t="s">
        <v>1026</v>
      </c>
    </row>
    <row r="258" spans="1:6" ht="13" x14ac:dyDescent="0.15">
      <c r="A258" t="s">
        <v>899</v>
      </c>
      <c r="B258" t="s">
        <v>900</v>
      </c>
      <c r="C258" t="s">
        <v>901</v>
      </c>
      <c r="D258" s="79" t="s">
        <v>89</v>
      </c>
      <c r="E258" t="s">
        <v>57</v>
      </c>
      <c r="F258" t="s">
        <v>1026</v>
      </c>
    </row>
    <row r="259" spans="1:6" ht="13" x14ac:dyDescent="0.15">
      <c r="A259" t="s">
        <v>902</v>
      </c>
      <c r="B259" t="s">
        <v>903</v>
      </c>
      <c r="C259" t="s">
        <v>904</v>
      </c>
      <c r="D259" s="79" t="s">
        <v>121</v>
      </c>
      <c r="E259" t="s">
        <v>65</v>
      </c>
      <c r="F259" t="s">
        <v>66</v>
      </c>
    </row>
    <row r="260" spans="1:6" ht="13" x14ac:dyDescent="0.15">
      <c r="A260" t="s">
        <v>905</v>
      </c>
      <c r="B260" t="s">
        <v>906</v>
      </c>
      <c r="C260" t="s">
        <v>907</v>
      </c>
      <c r="D260" s="79" t="s">
        <v>125</v>
      </c>
      <c r="E260" t="s">
        <v>49</v>
      </c>
      <c r="F260" t="s">
        <v>1029</v>
      </c>
    </row>
    <row r="261" spans="1:6" ht="13" x14ac:dyDescent="0.15">
      <c r="A261" t="s">
        <v>908</v>
      </c>
      <c r="B261" t="s">
        <v>909</v>
      </c>
      <c r="C261" t="s">
        <v>910</v>
      </c>
      <c r="D261" s="79" t="s">
        <v>89</v>
      </c>
      <c r="E261" t="s">
        <v>59</v>
      </c>
      <c r="F261" t="s">
        <v>1022</v>
      </c>
    </row>
    <row r="262" spans="1:6" ht="13" x14ac:dyDescent="0.15">
      <c r="A262" t="s">
        <v>911</v>
      </c>
      <c r="B262" t="s">
        <v>912</v>
      </c>
      <c r="C262" t="s">
        <v>913</v>
      </c>
      <c r="D262" s="79" t="s">
        <v>89</v>
      </c>
      <c r="E262" t="s">
        <v>55</v>
      </c>
      <c r="F262" t="s">
        <v>1023</v>
      </c>
    </row>
    <row r="263" spans="1:6" ht="13" x14ac:dyDescent="0.15">
      <c r="A263" t="s">
        <v>914</v>
      </c>
      <c r="B263" t="s">
        <v>915</v>
      </c>
      <c r="C263" t="s">
        <v>916</v>
      </c>
      <c r="D263" s="79" t="s">
        <v>89</v>
      </c>
      <c r="E263" t="s">
        <v>59</v>
      </c>
      <c r="F263" t="s">
        <v>1022</v>
      </c>
    </row>
    <row r="264" spans="1:6" ht="13" x14ac:dyDescent="0.15">
      <c r="A264" t="s">
        <v>917</v>
      </c>
      <c r="B264" t="s">
        <v>918</v>
      </c>
      <c r="C264" t="s">
        <v>919</v>
      </c>
      <c r="D264" s="79" t="s">
        <v>125</v>
      </c>
      <c r="E264" t="s">
        <v>61</v>
      </c>
      <c r="F264" t="s">
        <v>1025</v>
      </c>
    </row>
    <row r="265" spans="1:6" ht="13" x14ac:dyDescent="0.15">
      <c r="A265" t="s">
        <v>920</v>
      </c>
      <c r="B265" t="s">
        <v>921</v>
      </c>
      <c r="C265" t="s">
        <v>922</v>
      </c>
      <c r="D265" s="79" t="s">
        <v>125</v>
      </c>
      <c r="E265" t="s">
        <v>63</v>
      </c>
      <c r="F265" t="s">
        <v>64</v>
      </c>
    </row>
    <row r="266" spans="1:6" ht="13" x14ac:dyDescent="0.15">
      <c r="A266" t="s">
        <v>923</v>
      </c>
      <c r="B266" t="s">
        <v>924</v>
      </c>
      <c r="C266" t="s">
        <v>925</v>
      </c>
      <c r="D266" s="79" t="s">
        <v>123</v>
      </c>
      <c r="E266" t="s">
        <v>65</v>
      </c>
      <c r="F266" t="s">
        <v>66</v>
      </c>
    </row>
    <row r="267" spans="1:6" ht="13" x14ac:dyDescent="0.15">
      <c r="A267" t="s">
        <v>926</v>
      </c>
      <c r="B267" t="s">
        <v>927</v>
      </c>
      <c r="C267" t="s">
        <v>928</v>
      </c>
      <c r="D267" s="79" t="s">
        <v>121</v>
      </c>
      <c r="E267" t="s">
        <v>65</v>
      </c>
      <c r="F267" t="s">
        <v>66</v>
      </c>
    </row>
    <row r="268" spans="1:6" ht="13" x14ac:dyDescent="0.15">
      <c r="A268" t="s">
        <v>1088</v>
      </c>
      <c r="B268" t="s">
        <v>930</v>
      </c>
      <c r="C268" t="s">
        <v>931</v>
      </c>
      <c r="D268" s="79" t="s">
        <v>127</v>
      </c>
      <c r="E268" t="s">
        <v>49</v>
      </c>
      <c r="F268" t="s">
        <v>1029</v>
      </c>
    </row>
    <row r="269" spans="1:6" ht="13" x14ac:dyDescent="0.15">
      <c r="A269" t="s">
        <v>932</v>
      </c>
      <c r="B269" t="s">
        <v>933</v>
      </c>
      <c r="C269" t="s">
        <v>934</v>
      </c>
      <c r="D269" s="79" t="s">
        <v>89</v>
      </c>
      <c r="E269" t="s">
        <v>63</v>
      </c>
      <c r="F269" t="s">
        <v>64</v>
      </c>
    </row>
    <row r="270" spans="1:6" ht="13" x14ac:dyDescent="0.15">
      <c r="A270" t="s">
        <v>935</v>
      </c>
      <c r="B270" t="s">
        <v>936</v>
      </c>
      <c r="C270" t="s">
        <v>937</v>
      </c>
      <c r="D270" s="79" t="s">
        <v>89</v>
      </c>
      <c r="E270" t="s">
        <v>55</v>
      </c>
      <c r="F270" t="s">
        <v>1023</v>
      </c>
    </row>
    <row r="271" spans="1:6" ht="13" x14ac:dyDescent="0.15">
      <c r="A271" t="s">
        <v>938</v>
      </c>
      <c r="B271" t="s">
        <v>939</v>
      </c>
      <c r="C271" t="s">
        <v>940</v>
      </c>
      <c r="D271" s="79" t="s">
        <v>89</v>
      </c>
      <c r="E271" t="s">
        <v>59</v>
      </c>
      <c r="F271" t="s">
        <v>1022</v>
      </c>
    </row>
    <row r="272" spans="1:6" ht="13" x14ac:dyDescent="0.15">
      <c r="A272" t="s">
        <v>941</v>
      </c>
      <c r="B272" t="s">
        <v>942</v>
      </c>
      <c r="C272" t="s">
        <v>943</v>
      </c>
      <c r="D272" s="79" t="s">
        <v>89</v>
      </c>
      <c r="E272" t="s">
        <v>59</v>
      </c>
      <c r="F272" t="s">
        <v>1022</v>
      </c>
    </row>
    <row r="273" spans="1:6" ht="13" x14ac:dyDescent="0.15">
      <c r="A273" t="s">
        <v>944</v>
      </c>
      <c r="B273" t="s">
        <v>945</v>
      </c>
      <c r="C273" t="s">
        <v>946</v>
      </c>
      <c r="D273" s="79" t="s">
        <v>89</v>
      </c>
      <c r="E273" t="s">
        <v>55</v>
      </c>
      <c r="F273" t="s">
        <v>1023</v>
      </c>
    </row>
    <row r="274" spans="1:6" ht="13" x14ac:dyDescent="0.15">
      <c r="A274" t="s">
        <v>1089</v>
      </c>
      <c r="B274" t="s">
        <v>948</v>
      </c>
      <c r="C274" t="s">
        <v>949</v>
      </c>
      <c r="D274" s="79" t="s">
        <v>127</v>
      </c>
      <c r="E274" t="s">
        <v>59</v>
      </c>
      <c r="F274" t="s">
        <v>1022</v>
      </c>
    </row>
    <row r="275" spans="1:6" ht="13" x14ac:dyDescent="0.15">
      <c r="A275" t="s">
        <v>950</v>
      </c>
      <c r="B275" t="s">
        <v>951</v>
      </c>
      <c r="C275" t="s">
        <v>952</v>
      </c>
      <c r="D275" s="79" t="s">
        <v>89</v>
      </c>
      <c r="E275" t="s">
        <v>57</v>
      </c>
      <c r="F275" t="s">
        <v>1026</v>
      </c>
    </row>
    <row r="276" spans="1:6" ht="13" x14ac:dyDescent="0.15">
      <c r="A276" t="s">
        <v>953</v>
      </c>
      <c r="B276" t="s">
        <v>954</v>
      </c>
      <c r="C276" t="s">
        <v>955</v>
      </c>
      <c r="D276" s="79" t="s">
        <v>89</v>
      </c>
      <c r="E276" t="s">
        <v>49</v>
      </c>
      <c r="F276" t="s">
        <v>1029</v>
      </c>
    </row>
    <row r="277" spans="1:6" ht="13" x14ac:dyDescent="0.15">
      <c r="A277" t="s">
        <v>956</v>
      </c>
      <c r="B277" t="s">
        <v>957</v>
      </c>
      <c r="C277" t="s">
        <v>958</v>
      </c>
      <c r="D277" s="79" t="s">
        <v>89</v>
      </c>
      <c r="E277" t="s">
        <v>53</v>
      </c>
      <c r="F277" t="s">
        <v>54</v>
      </c>
    </row>
    <row r="278" spans="1:6" ht="13" x14ac:dyDescent="0.15">
      <c r="A278" t="s">
        <v>959</v>
      </c>
      <c r="B278" t="s">
        <v>960</v>
      </c>
      <c r="C278" t="s">
        <v>961</v>
      </c>
      <c r="D278" s="79" t="s">
        <v>127</v>
      </c>
      <c r="E278" t="s">
        <v>53</v>
      </c>
      <c r="F278" t="s">
        <v>54</v>
      </c>
    </row>
    <row r="279" spans="1:6" ht="13" x14ac:dyDescent="0.15">
      <c r="A279" t="s">
        <v>962</v>
      </c>
      <c r="B279" t="s">
        <v>963</v>
      </c>
      <c r="C279" t="s">
        <v>964</v>
      </c>
      <c r="D279" s="79" t="s">
        <v>89</v>
      </c>
      <c r="E279" t="s">
        <v>59</v>
      </c>
      <c r="F279" t="s">
        <v>1022</v>
      </c>
    </row>
    <row r="280" spans="1:6" ht="13" x14ac:dyDescent="0.15">
      <c r="A280" t="s">
        <v>965</v>
      </c>
      <c r="B280" t="s">
        <v>966</v>
      </c>
      <c r="C280" t="s">
        <v>967</v>
      </c>
      <c r="D280" s="79" t="s">
        <v>89</v>
      </c>
      <c r="E280" t="s">
        <v>55</v>
      </c>
      <c r="F280" t="s">
        <v>1023</v>
      </c>
    </row>
    <row r="281" spans="1:6" ht="13" x14ac:dyDescent="0.15">
      <c r="A281" t="s">
        <v>968</v>
      </c>
      <c r="B281" t="s">
        <v>969</v>
      </c>
      <c r="C281" t="s">
        <v>970</v>
      </c>
      <c r="D281" s="79" t="s">
        <v>121</v>
      </c>
      <c r="E281" t="s">
        <v>65</v>
      </c>
      <c r="F281" t="s">
        <v>66</v>
      </c>
    </row>
    <row r="282" spans="1:6" ht="13" x14ac:dyDescent="0.15">
      <c r="A282" t="s">
        <v>971</v>
      </c>
      <c r="B282" t="s">
        <v>972</v>
      </c>
      <c r="C282" t="s">
        <v>973</v>
      </c>
      <c r="D282" s="79" t="s">
        <v>127</v>
      </c>
      <c r="E282" t="s">
        <v>49</v>
      </c>
      <c r="F282" t="s">
        <v>1029</v>
      </c>
    </row>
    <row r="283" spans="1:6" ht="13" x14ac:dyDescent="0.15">
      <c r="A283" t="s">
        <v>974</v>
      </c>
      <c r="B283" t="s">
        <v>975</v>
      </c>
      <c r="C283" t="s">
        <v>976</v>
      </c>
      <c r="D283" s="79" t="s">
        <v>125</v>
      </c>
      <c r="E283" t="s">
        <v>49</v>
      </c>
      <c r="F283" t="s">
        <v>1029</v>
      </c>
    </row>
    <row r="284" spans="1:6" ht="13" x14ac:dyDescent="0.15">
      <c r="A284" t="s">
        <v>1090</v>
      </c>
      <c r="B284" t="s">
        <v>978</v>
      </c>
      <c r="C284" t="s">
        <v>979</v>
      </c>
      <c r="D284" s="79" t="s">
        <v>127</v>
      </c>
      <c r="E284" t="s">
        <v>57</v>
      </c>
      <c r="F284" t="s">
        <v>1026</v>
      </c>
    </row>
    <row r="285" spans="1:6" ht="13" x14ac:dyDescent="0.15">
      <c r="A285" t="s">
        <v>980</v>
      </c>
      <c r="B285" t="s">
        <v>981</v>
      </c>
      <c r="C285" t="s">
        <v>982</v>
      </c>
      <c r="D285" s="79" t="s">
        <v>89</v>
      </c>
      <c r="E285" t="s">
        <v>59</v>
      </c>
      <c r="F285" t="s">
        <v>1022</v>
      </c>
    </row>
    <row r="286" spans="1:6" ht="13" x14ac:dyDescent="0.15">
      <c r="A286" t="s">
        <v>1091</v>
      </c>
      <c r="B286" t="s">
        <v>984</v>
      </c>
      <c r="C286" t="s">
        <v>985</v>
      </c>
      <c r="D286" s="79" t="s">
        <v>127</v>
      </c>
      <c r="E286" t="s">
        <v>59</v>
      </c>
      <c r="F286" t="s">
        <v>1022</v>
      </c>
    </row>
    <row r="287" spans="1:6" ht="13" x14ac:dyDescent="0.15">
      <c r="A287" t="s">
        <v>986</v>
      </c>
      <c r="B287" t="s">
        <v>987</v>
      </c>
      <c r="C287" t="s">
        <v>988</v>
      </c>
      <c r="D287" s="79" t="s">
        <v>125</v>
      </c>
      <c r="E287" t="s">
        <v>49</v>
      </c>
      <c r="F287" t="s">
        <v>1029</v>
      </c>
    </row>
    <row r="288" spans="1:6" ht="13" x14ac:dyDescent="0.15">
      <c r="A288" t="s">
        <v>989</v>
      </c>
      <c r="B288" t="s">
        <v>990</v>
      </c>
      <c r="C288" t="s">
        <v>991</v>
      </c>
      <c r="D288" s="79" t="s">
        <v>89</v>
      </c>
      <c r="E288" t="s">
        <v>59</v>
      </c>
      <c r="F288" t="s">
        <v>1022</v>
      </c>
    </row>
    <row r="289" spans="1:6" ht="13" x14ac:dyDescent="0.15">
      <c r="A289" t="s">
        <v>1092</v>
      </c>
      <c r="B289" t="s">
        <v>993</v>
      </c>
      <c r="C289" t="s">
        <v>994</v>
      </c>
      <c r="D289" s="79" t="s">
        <v>127</v>
      </c>
      <c r="E289" t="s">
        <v>59</v>
      </c>
      <c r="F289" t="s">
        <v>1022</v>
      </c>
    </row>
    <row r="290" spans="1:6" ht="13" x14ac:dyDescent="0.15">
      <c r="A290" t="s">
        <v>995</v>
      </c>
      <c r="B290" t="s">
        <v>996</v>
      </c>
      <c r="C290" t="s">
        <v>997</v>
      </c>
      <c r="D290" s="79" t="s">
        <v>125</v>
      </c>
      <c r="E290" t="s">
        <v>63</v>
      </c>
      <c r="F290" t="s">
        <v>64</v>
      </c>
    </row>
    <row r="291" spans="1:6" ht="13" x14ac:dyDescent="0.15">
      <c r="A291" t="s">
        <v>998</v>
      </c>
      <c r="B291" t="s">
        <v>999</v>
      </c>
      <c r="C291" t="s">
        <v>1000</v>
      </c>
      <c r="D291" s="79" t="s">
        <v>89</v>
      </c>
      <c r="E291" t="s">
        <v>63</v>
      </c>
      <c r="F291" t="s">
        <v>64</v>
      </c>
    </row>
    <row r="292" spans="1:6" ht="13" x14ac:dyDescent="0.15">
      <c r="A292" t="s">
        <v>1001</v>
      </c>
      <c r="B292" t="s">
        <v>1002</v>
      </c>
      <c r="C292" t="s">
        <v>1003</v>
      </c>
      <c r="D292" s="79" t="s">
        <v>89</v>
      </c>
      <c r="E292" t="s">
        <v>59</v>
      </c>
      <c r="F292" t="s">
        <v>1022</v>
      </c>
    </row>
    <row r="293" spans="1:6" ht="13" x14ac:dyDescent="0.15">
      <c r="A293" t="s">
        <v>1004</v>
      </c>
      <c r="B293" t="s">
        <v>1005</v>
      </c>
      <c r="C293" t="s">
        <v>1006</v>
      </c>
      <c r="D293" s="79" t="s">
        <v>89</v>
      </c>
      <c r="E293" t="s">
        <v>63</v>
      </c>
      <c r="F293" t="s">
        <v>64</v>
      </c>
    </row>
    <row r="294" spans="1:6" ht="13" x14ac:dyDescent="0.15">
      <c r="A294" t="s">
        <v>1007</v>
      </c>
      <c r="B294" t="s">
        <v>1008</v>
      </c>
      <c r="C294" t="s">
        <v>1009</v>
      </c>
      <c r="D294" s="79" t="s">
        <v>89</v>
      </c>
      <c r="E294" t="s">
        <v>49</v>
      </c>
      <c r="F294" t="s">
        <v>1029</v>
      </c>
    </row>
    <row r="295" spans="1:6" ht="13" x14ac:dyDescent="0.15">
      <c r="A295" t="s">
        <v>1010</v>
      </c>
      <c r="B295" t="s">
        <v>1011</v>
      </c>
      <c r="C295" t="s">
        <v>1012</v>
      </c>
      <c r="D295" s="79" t="s">
        <v>89</v>
      </c>
      <c r="E295" t="s">
        <v>63</v>
      </c>
      <c r="F295" t="s">
        <v>64</v>
      </c>
    </row>
    <row r="296" spans="1:6" ht="13" x14ac:dyDescent="0.15">
      <c r="A296" t="s">
        <v>1093</v>
      </c>
      <c r="B296" t="s">
        <v>1014</v>
      </c>
      <c r="C296" t="s">
        <v>1015</v>
      </c>
      <c r="D296" s="79" t="s">
        <v>127</v>
      </c>
      <c r="E296" t="s">
        <v>61</v>
      </c>
      <c r="F296" t="s">
        <v>1025</v>
      </c>
    </row>
    <row r="297" spans="1:6" ht="13" x14ac:dyDescent="0.15">
      <c r="A297" t="s">
        <v>46</v>
      </c>
      <c r="B297" t="s">
        <v>46</v>
      </c>
      <c r="C297" t="s">
        <v>1094</v>
      </c>
      <c r="D297" t="s">
        <v>45</v>
      </c>
      <c r="E297" t="s">
        <v>1095</v>
      </c>
    </row>
    <row r="298" spans="1:6" ht="13" x14ac:dyDescent="0.15">
      <c r="A298" t="s">
        <v>66</v>
      </c>
      <c r="B298" t="s">
        <v>66</v>
      </c>
      <c r="C298" t="s">
        <v>67</v>
      </c>
      <c r="D298" t="s">
        <v>67</v>
      </c>
      <c r="E298" t="s">
        <v>1095</v>
      </c>
    </row>
    <row r="299" spans="1:6" ht="13" x14ac:dyDescent="0.15">
      <c r="A299" t="s">
        <v>121</v>
      </c>
      <c r="B299" t="s">
        <v>1096</v>
      </c>
      <c r="C299" t="s">
        <v>69</v>
      </c>
      <c r="D299" t="s">
        <v>1096</v>
      </c>
      <c r="E299" t="s">
        <v>1095</v>
      </c>
    </row>
    <row r="300" spans="1:6" ht="13" x14ac:dyDescent="0.15">
      <c r="A300" t="s">
        <v>123</v>
      </c>
      <c r="B300" t="s">
        <v>1097</v>
      </c>
      <c r="C300" t="s">
        <v>71</v>
      </c>
      <c r="D300" t="s">
        <v>1097</v>
      </c>
      <c r="E300" t="s">
        <v>1095</v>
      </c>
    </row>
    <row r="301" spans="1:6" ht="13" x14ac:dyDescent="0.15">
      <c r="A301" t="s">
        <v>125</v>
      </c>
      <c r="B301" t="s">
        <v>1098</v>
      </c>
      <c r="C301" t="s">
        <v>73</v>
      </c>
      <c r="D301" t="s">
        <v>1098</v>
      </c>
      <c r="E301" t="s">
        <v>1095</v>
      </c>
    </row>
    <row r="302" spans="1:6" ht="13" x14ac:dyDescent="0.15">
      <c r="A302" t="s">
        <v>127</v>
      </c>
      <c r="B302" t="s">
        <v>127</v>
      </c>
      <c r="C302" t="s">
        <v>75</v>
      </c>
      <c r="D302" t="s">
        <v>127</v>
      </c>
      <c r="E302" t="s">
        <v>1095</v>
      </c>
    </row>
    <row r="303" spans="1:6" ht="13" x14ac:dyDescent="0.15">
      <c r="A303" t="s">
        <v>89</v>
      </c>
      <c r="B303" t="s">
        <v>89</v>
      </c>
      <c r="C303" t="s">
        <v>77</v>
      </c>
      <c r="D303" t="s">
        <v>89</v>
      </c>
      <c r="E303" t="s">
        <v>1095</v>
      </c>
    </row>
  </sheetData>
  <autoFilter ref="A1:F303" xr:uid="{52C8BFA0-A5C7-0F45-B8B8-A58FF30042AB}"/>
  <conditionalFormatting sqref="C1:C296 C304:C1048576">
    <cfRule type="expression" dxfId="0" priority="1" stopIfTrue="1">
      <formula>AND(COUNTIF($C$1:$C$296, C1)+COUNTIF($C$304:$C$1048576, C1)&gt;1,NOT(ISBLANK(C1)))</formula>
    </cfRule>
  </conditionalFormatting>
  <pageMargins left="0.70000000000000007" right="0.70000000000000007" top="0.75" bottom="0.75" header="0.30000000000000004" footer="0.30000000000000004"/>
  <headerFooter>
    <oddHeader xml:space="preserve">&amp;C&amp;"Calibri,Regular" OFFICIAL-SENSITIVE - DLUHC USE ONLY&amp;1#
</oddHeader>
    <oddFooter>&amp;C
&amp;1#&amp;"Calibri,Regular"&amp;10 OFFICIAL-SENSITIVE - DLUHC USE ONLY</oddFooter>
  </headerFooter>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Cover</vt:lpstr>
      <vt:lpstr>Contents</vt:lpstr>
      <vt:lpstr>Notes</vt:lpstr>
      <vt:lpstr>Table_6</vt:lpstr>
      <vt:lpstr>Table_6a_-_council_tax</vt:lpstr>
      <vt:lpstr>Table_6b-non_domestic_rates</vt:lpstr>
      <vt:lpstr>LA_List</vt:lpstr>
      <vt:lpstr>Table_6!ccc</vt:lpstr>
      <vt:lpstr>Table_6!Print_Area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mhclg@communities.gov.uk</dc:creator>
  <dc:description/>
  <cp:lastModifiedBy>Ali Shah</cp:lastModifiedBy>
  <dcterms:created xsi:type="dcterms:W3CDTF">2002-10-30T10:36:04Z</dcterms:created>
  <dcterms:modified xsi:type="dcterms:W3CDTF">2026-10-13T14:30:32Z</dcterms:modified>
</cp:coreProperties>
</file>

<file path=docProps/custom.xml><?xml version="1.0" encoding="utf-8"?>
<Properties xmlns="http://purl.oclc.org/ooxml/officeDocument/customProperties" xmlns:vt="http://purl.oclc.org/ooxml/officeDocument/docPropsVTypes">
  <property fmtid="{D5CDD505-2E9C-101B-9397-08002B2CF9AE}" pid="2" name="docIndexRef">
    <vt:lpwstr>f0498bee-401d-4cd7-9134-3f038d66f197</vt:lpwstr>
  </property>
  <property fmtid="{D5CDD505-2E9C-101B-9397-08002B2CF9AE}" pid="3" name="bjSaver">
    <vt:lpwstr>XePHT1A/4MVOnNF8mnysHX9hPqgb2QQL</vt:lpwstr>
  </property>
  <property fmtid="{D5CDD505-2E9C-101B-9397-08002B2CF9AE}" pid="4" name="bjDocumentSecurityLabel">
    <vt:lpwstr>No Marking</vt:lpwstr>
  </property>
  <property fmtid="{D5CDD505-2E9C-101B-9397-08002B2CF9AE}" pid="5" name="ContentTypeId">
    <vt:lpwstr>0x010100ECCB7E1F660E4D499F35AD51896216AD</vt:lpwstr>
  </property>
  <property fmtid="{D5CDD505-2E9C-101B-9397-08002B2CF9AE}" pid="6" name="MediaServiceImageTags">
    <vt:lpwstr/>
  </property>
</Properties>
</file>